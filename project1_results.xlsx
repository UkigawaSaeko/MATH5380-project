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lumbia_Files\MATH5380\project\project\MATH5380-project\"/>
    </mc:Choice>
  </mc:AlternateContent>
  <xr:revisionPtr revIDLastSave="0" documentId="13_ncr:1_{BBF4E3DB-0C1D-4716-BB57-FBB40FDF74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Data_Monthly" sheetId="2" r:id="rId2"/>
    <sheet name="Total_Return_Statistics" sheetId="3" r:id="rId3"/>
    <sheet name="Active_Return_Statistics" sheetId="4" r:id="rId4"/>
    <sheet name="Gross_Returns" sheetId="5" r:id="rId5"/>
    <sheet name="Weights_Annual" sheetId="6" r:id="rId6"/>
    <sheet name="Parameters" sheetId="7" r:id="rId7"/>
    <sheet name="Expected_Returns" sheetId="8" r:id="rId8"/>
    <sheet name="Sec08_FinalYr" sheetId="9" r:id="rId9"/>
    <sheet name="Investment_Universe" sheetId="10" r:id="rId10"/>
  </sheets>
  <calcPr calcId="191029"/>
</workbook>
</file>

<file path=xl/calcChain.xml><?xml version="1.0" encoding="utf-8"?>
<calcChain xmlns="http://schemas.openxmlformats.org/spreadsheetml/2006/main">
  <c r="B5" i="4" l="1"/>
  <c r="C6" i="3"/>
  <c r="B6" i="3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B4" i="5"/>
  <c r="A4" i="5"/>
  <c r="B4" i="4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F3" i="2"/>
  <c r="C5" i="5" s="1"/>
  <c r="D3" i="2"/>
  <c r="F2" i="2"/>
  <c r="C4" i="5" s="1"/>
  <c r="E2" i="2"/>
  <c r="E3" i="2" s="1"/>
  <c r="D2" i="2"/>
  <c r="B6" i="4" l="1"/>
  <c r="B5" i="5"/>
  <c r="E4" i="2"/>
  <c r="F4" i="2"/>
  <c r="F5" i="2" l="1"/>
  <c r="C6" i="5"/>
  <c r="B6" i="5"/>
  <c r="E5" i="2"/>
  <c r="E6" i="2" l="1"/>
  <c r="B7" i="5"/>
  <c r="F6" i="2"/>
  <c r="C7" i="5"/>
  <c r="F7" i="2" l="1"/>
  <c r="C8" i="5"/>
  <c r="E7" i="2"/>
  <c r="B8" i="5"/>
  <c r="E8" i="2" l="1"/>
  <c r="B9" i="5"/>
  <c r="F8" i="2"/>
  <c r="C9" i="5"/>
  <c r="C10" i="5" l="1"/>
  <c r="F9" i="2"/>
  <c r="E9" i="2"/>
  <c r="B10" i="5"/>
  <c r="E10" i="2" l="1"/>
  <c r="B11" i="5"/>
  <c r="C11" i="5"/>
  <c r="F10" i="2"/>
  <c r="E11" i="2" l="1"/>
  <c r="B12" i="5"/>
  <c r="F11" i="2"/>
  <c r="C12" i="5"/>
  <c r="E12" i="2" l="1"/>
  <c r="B13" i="5"/>
  <c r="C13" i="5"/>
  <c r="F12" i="2"/>
  <c r="F13" i="2" l="1"/>
  <c r="C14" i="5"/>
  <c r="E13" i="2"/>
  <c r="B14" i="5"/>
  <c r="B15" i="5" l="1"/>
  <c r="E14" i="2"/>
  <c r="F14" i="2"/>
  <c r="C15" i="5"/>
  <c r="C16" i="5" l="1"/>
  <c r="F15" i="2"/>
  <c r="B16" i="5"/>
  <c r="E15" i="2"/>
  <c r="E16" i="2" l="1"/>
  <c r="B17" i="5"/>
  <c r="F16" i="2"/>
  <c r="C17" i="5"/>
  <c r="F17" i="2" l="1"/>
  <c r="C18" i="5"/>
  <c r="E17" i="2"/>
  <c r="B18" i="5"/>
  <c r="E18" i="2" l="1"/>
  <c r="B19" i="5"/>
  <c r="F18" i="2"/>
  <c r="C19" i="5"/>
  <c r="F19" i="2" l="1"/>
  <c r="C20" i="5"/>
  <c r="E19" i="2"/>
  <c r="B20" i="5"/>
  <c r="B21" i="5" l="1"/>
  <c r="E20" i="2"/>
  <c r="C21" i="5"/>
  <c r="F20" i="2"/>
  <c r="F21" i="2" l="1"/>
  <c r="C22" i="5"/>
  <c r="B22" i="5"/>
  <c r="E21" i="2"/>
  <c r="E22" i="2" l="1"/>
  <c r="B23" i="5"/>
  <c r="F22" i="2"/>
  <c r="C23" i="5"/>
  <c r="F23" i="2" l="1"/>
  <c r="C24" i="5"/>
  <c r="E23" i="2"/>
  <c r="B24" i="5"/>
  <c r="E24" i="2" l="1"/>
  <c r="B25" i="5"/>
  <c r="F24" i="2"/>
  <c r="C25" i="5"/>
  <c r="C26" i="5" l="1"/>
  <c r="F25" i="2"/>
  <c r="E25" i="2"/>
  <c r="B26" i="5"/>
  <c r="B27" i="5" l="1"/>
  <c r="E26" i="2"/>
  <c r="C27" i="5"/>
  <c r="F26" i="2"/>
  <c r="E27" i="2" l="1"/>
  <c r="B28" i="5"/>
  <c r="F27" i="2"/>
  <c r="C28" i="5"/>
  <c r="F28" i="2" l="1"/>
  <c r="C29" i="5"/>
  <c r="E28" i="2"/>
  <c r="B29" i="5"/>
  <c r="E29" i="2" l="1"/>
  <c r="B30" i="5"/>
  <c r="F29" i="2"/>
  <c r="C30" i="5"/>
  <c r="F30" i="2" l="1"/>
  <c r="C31" i="5"/>
  <c r="B31" i="5"/>
  <c r="E30" i="2"/>
  <c r="B32" i="5" l="1"/>
  <c r="E31" i="2"/>
  <c r="C32" i="5"/>
  <c r="F31" i="2"/>
  <c r="F32" i="2" l="1"/>
  <c r="C33" i="5"/>
  <c r="E32" i="2"/>
  <c r="B33" i="5"/>
  <c r="E33" i="2" l="1"/>
  <c r="B34" i="5"/>
  <c r="F33" i="2"/>
  <c r="C34" i="5"/>
  <c r="F34" i="2" l="1"/>
  <c r="C35" i="5"/>
  <c r="E34" i="2"/>
  <c r="B35" i="5"/>
  <c r="E35" i="2" l="1"/>
  <c r="B36" i="5"/>
  <c r="C36" i="5"/>
  <c r="F35" i="2"/>
  <c r="C37" i="5" l="1"/>
  <c r="F36" i="2"/>
  <c r="B37" i="5"/>
  <c r="E36" i="2"/>
  <c r="B38" i="5" l="1"/>
  <c r="E37" i="2"/>
  <c r="F37" i="2"/>
  <c r="C38" i="5"/>
  <c r="F38" i="2" l="1"/>
  <c r="C39" i="5"/>
  <c r="E38" i="2"/>
  <c r="B39" i="5"/>
  <c r="B40" i="5" l="1"/>
  <c r="E39" i="2"/>
  <c r="F39" i="2"/>
  <c r="C40" i="5"/>
  <c r="F40" i="2" l="1"/>
  <c r="C41" i="5"/>
  <c r="E40" i="2"/>
  <c r="B41" i="5"/>
  <c r="E41" i="2" l="1"/>
  <c r="B42" i="5"/>
  <c r="C42" i="5"/>
  <c r="F41" i="2"/>
  <c r="C43" i="5" l="1"/>
  <c r="F42" i="2"/>
  <c r="B43" i="5"/>
  <c r="E42" i="2"/>
  <c r="E43" i="2" l="1"/>
  <c r="B44" i="5"/>
  <c r="F43" i="2"/>
  <c r="C44" i="5"/>
  <c r="C45" i="5" l="1"/>
  <c r="F44" i="2"/>
  <c r="E44" i="2"/>
  <c r="B45" i="5"/>
  <c r="E45" i="2" l="1"/>
  <c r="B46" i="5"/>
  <c r="F45" i="2"/>
  <c r="C46" i="5"/>
  <c r="F46" i="2" l="1"/>
  <c r="C47" i="5"/>
  <c r="E46" i="2"/>
  <c r="B47" i="5"/>
  <c r="B48" i="5" l="1"/>
  <c r="E47" i="2"/>
  <c r="C48" i="5"/>
  <c r="F47" i="2"/>
  <c r="F48" i="2" l="1"/>
  <c r="C49" i="5"/>
  <c r="E48" i="2"/>
  <c r="B49" i="5"/>
  <c r="E49" i="2" l="1"/>
  <c r="B50" i="5"/>
  <c r="F49" i="2"/>
  <c r="C50" i="5"/>
  <c r="F50" i="2" l="1"/>
  <c r="C51" i="5"/>
  <c r="E50" i="2"/>
  <c r="B51" i="5"/>
  <c r="E51" i="2" l="1"/>
  <c r="B52" i="5"/>
  <c r="C52" i="5"/>
  <c r="F51" i="2"/>
  <c r="C53" i="5" l="1"/>
  <c r="F52" i="2"/>
  <c r="B53" i="5"/>
  <c r="E52" i="2"/>
  <c r="B54" i="5" l="1"/>
  <c r="E53" i="2"/>
  <c r="F53" i="2"/>
  <c r="C54" i="5"/>
  <c r="F54" i="2" l="1"/>
  <c r="C55" i="5"/>
  <c r="E54" i="2"/>
  <c r="B55" i="5"/>
  <c r="E55" i="2" l="1"/>
  <c r="B56" i="5"/>
  <c r="F55" i="2"/>
  <c r="C56" i="5"/>
  <c r="F56" i="2" l="1"/>
  <c r="C57" i="5"/>
  <c r="E56" i="2"/>
  <c r="B57" i="5"/>
  <c r="E57" i="2" l="1"/>
  <c r="B58" i="5"/>
  <c r="C58" i="5"/>
  <c r="F57" i="2"/>
  <c r="C59" i="5" l="1"/>
  <c r="F58" i="2"/>
  <c r="B59" i="5"/>
  <c r="E58" i="2"/>
  <c r="E59" i="2" l="1"/>
  <c r="B60" i="5"/>
  <c r="F59" i="2"/>
  <c r="C60" i="5"/>
  <c r="F60" i="2" l="1"/>
  <c r="C61" i="5"/>
  <c r="E60" i="2"/>
  <c r="B61" i="5"/>
  <c r="E61" i="2" l="1"/>
  <c r="B62" i="5"/>
  <c r="F61" i="2"/>
  <c r="C62" i="5"/>
  <c r="F62" i="2" l="1"/>
  <c r="C63" i="5"/>
  <c r="B63" i="5"/>
  <c r="E62" i="2"/>
  <c r="B64" i="5" l="1"/>
  <c r="E63" i="2"/>
  <c r="C64" i="5"/>
  <c r="F63" i="2"/>
  <c r="F64" i="2" l="1"/>
  <c r="C65" i="5"/>
  <c r="E64" i="2"/>
  <c r="B65" i="5"/>
  <c r="E65" i="2" l="1"/>
  <c r="B66" i="5"/>
  <c r="F65" i="2"/>
  <c r="C66" i="5"/>
  <c r="F66" i="2" l="1"/>
  <c r="C67" i="5"/>
  <c r="E66" i="2"/>
  <c r="B67" i="5"/>
  <c r="E67" i="2" l="1"/>
  <c r="B68" i="5"/>
  <c r="C68" i="5"/>
  <c r="F67" i="2"/>
  <c r="C69" i="5" l="1"/>
  <c r="F68" i="2"/>
  <c r="B69" i="5"/>
  <c r="E68" i="2"/>
  <c r="B70" i="5" l="1"/>
  <c r="E69" i="2"/>
  <c r="F69" i="2"/>
  <c r="C70" i="5"/>
  <c r="F70" i="2" l="1"/>
  <c r="C71" i="5"/>
  <c r="E70" i="2"/>
  <c r="B71" i="5"/>
  <c r="E71" i="2" l="1"/>
  <c r="B72" i="5"/>
  <c r="F71" i="2"/>
  <c r="C72" i="5"/>
  <c r="F72" i="2" l="1"/>
  <c r="C73" i="5"/>
  <c r="E72" i="2"/>
  <c r="B73" i="5"/>
  <c r="E73" i="2" l="1"/>
  <c r="B74" i="5"/>
  <c r="C74" i="5"/>
  <c r="F73" i="2"/>
  <c r="C75" i="5" l="1"/>
  <c r="F74" i="2"/>
  <c r="B75" i="5"/>
  <c r="E74" i="2"/>
  <c r="E75" i="2" l="1"/>
  <c r="B76" i="5"/>
  <c r="F75" i="2"/>
  <c r="C76" i="5"/>
  <c r="F76" i="2" l="1"/>
  <c r="C77" i="5"/>
  <c r="E76" i="2"/>
  <c r="B77" i="5"/>
  <c r="E77" i="2" l="1"/>
  <c r="B78" i="5"/>
  <c r="F77" i="2"/>
  <c r="C78" i="5"/>
  <c r="F78" i="2" l="1"/>
  <c r="C79" i="5"/>
  <c r="E78" i="2"/>
  <c r="B79" i="5"/>
  <c r="B80" i="5" l="1"/>
  <c r="E79" i="2"/>
  <c r="C80" i="5"/>
  <c r="F79" i="2"/>
  <c r="F80" i="2" l="1"/>
  <c r="C81" i="5"/>
  <c r="E80" i="2"/>
  <c r="B81" i="5"/>
  <c r="E81" i="2" l="1"/>
  <c r="B82" i="5"/>
  <c r="F81" i="2"/>
  <c r="C82" i="5"/>
  <c r="E82" i="2" l="1"/>
  <c r="B83" i="5"/>
  <c r="F82" i="2"/>
  <c r="C83" i="5"/>
  <c r="C84" i="5" l="1"/>
  <c r="F83" i="2"/>
  <c r="E83" i="2"/>
  <c r="B84" i="5"/>
  <c r="B85" i="5" l="1"/>
  <c r="E84" i="2"/>
  <c r="C85" i="5"/>
  <c r="F84" i="2"/>
  <c r="F85" i="2" l="1"/>
  <c r="C86" i="5"/>
  <c r="B86" i="5"/>
  <c r="E85" i="2"/>
  <c r="E86" i="2" l="1"/>
  <c r="B87" i="5"/>
  <c r="F86" i="2"/>
  <c r="C87" i="5"/>
  <c r="F87" i="2" l="1"/>
  <c r="C88" i="5"/>
  <c r="E87" i="2"/>
  <c r="B88" i="5"/>
  <c r="E88" i="2" l="1"/>
  <c r="B89" i="5"/>
  <c r="F88" i="2"/>
  <c r="C89" i="5"/>
  <c r="C90" i="5" l="1"/>
  <c r="F89" i="2"/>
  <c r="E89" i="2"/>
  <c r="B90" i="5"/>
  <c r="B91" i="5" l="1"/>
  <c r="E90" i="2"/>
  <c r="C91" i="5"/>
  <c r="F90" i="2"/>
  <c r="F91" i="2" l="1"/>
  <c r="C92" i="5"/>
  <c r="E91" i="2"/>
  <c r="B92" i="5"/>
  <c r="E92" i="2" l="1"/>
  <c r="B93" i="5"/>
  <c r="C93" i="5"/>
  <c r="F92" i="2"/>
  <c r="F93" i="2" l="1"/>
  <c r="C94" i="5"/>
  <c r="E93" i="2"/>
  <c r="B94" i="5"/>
  <c r="B95" i="5" l="1"/>
  <c r="E94" i="2"/>
  <c r="F94" i="2"/>
  <c r="C95" i="5"/>
  <c r="C96" i="5" l="1"/>
  <c r="F95" i="2"/>
  <c r="B96" i="5"/>
  <c r="E95" i="2"/>
  <c r="E96" i="2" l="1"/>
  <c r="B97" i="5"/>
  <c r="F96" i="2"/>
  <c r="C97" i="5"/>
  <c r="F97" i="2" l="1"/>
  <c r="C98" i="5"/>
  <c r="E97" i="2"/>
  <c r="B98" i="5"/>
  <c r="E98" i="2" l="1"/>
  <c r="B99" i="5"/>
  <c r="F98" i="2"/>
  <c r="C99" i="5"/>
  <c r="C100" i="5" l="1"/>
  <c r="F99" i="2"/>
  <c r="E99" i="2"/>
  <c r="B100" i="5"/>
  <c r="B101" i="5" l="1"/>
  <c r="E100" i="2"/>
  <c r="C101" i="5"/>
  <c r="F100" i="2"/>
  <c r="F101" i="2" l="1"/>
  <c r="C102" i="5"/>
  <c r="B102" i="5"/>
  <c r="E101" i="2"/>
  <c r="E102" i="2" l="1"/>
  <c r="B103" i="5"/>
  <c r="F102" i="2"/>
  <c r="C103" i="5"/>
  <c r="F103" i="2" l="1"/>
  <c r="C104" i="5"/>
  <c r="E103" i="2"/>
  <c r="B104" i="5"/>
  <c r="E104" i="2" l="1"/>
  <c r="B105" i="5"/>
  <c r="F104" i="2"/>
  <c r="C105" i="5"/>
  <c r="C106" i="5" l="1"/>
  <c r="F105" i="2"/>
  <c r="E105" i="2"/>
  <c r="B106" i="5"/>
  <c r="B107" i="5" l="1"/>
  <c r="E106" i="2"/>
  <c r="C107" i="5"/>
  <c r="F106" i="2"/>
  <c r="F107" i="2" l="1"/>
  <c r="C108" i="5"/>
  <c r="E107" i="2"/>
  <c r="B108" i="5"/>
  <c r="E108" i="2" l="1"/>
  <c r="B109" i="5"/>
  <c r="C109" i="5"/>
  <c r="F108" i="2"/>
  <c r="F109" i="2" l="1"/>
  <c r="C110" i="5"/>
  <c r="E109" i="2"/>
  <c r="B110" i="5"/>
  <c r="B111" i="5" l="1"/>
  <c r="E110" i="2"/>
  <c r="F110" i="2"/>
  <c r="C111" i="5"/>
  <c r="C112" i="5" l="1"/>
  <c r="F111" i="2"/>
  <c r="B112" i="5"/>
  <c r="E111" i="2"/>
  <c r="E112" i="2" l="1"/>
  <c r="B113" i="5"/>
  <c r="C113" i="5"/>
  <c r="F112" i="2"/>
  <c r="F113" i="2" l="1"/>
  <c r="C114" i="5"/>
  <c r="E113" i="2"/>
  <c r="B114" i="5"/>
  <c r="E114" i="2" l="1"/>
  <c r="B115" i="5"/>
  <c r="F114" i="2"/>
  <c r="C115" i="5"/>
  <c r="C116" i="5" l="1"/>
  <c r="F115" i="2"/>
  <c r="E115" i="2"/>
  <c r="B116" i="5"/>
  <c r="B117" i="5" l="1"/>
  <c r="E116" i="2"/>
  <c r="C117" i="5"/>
  <c r="F116" i="2"/>
  <c r="F117" i="2" l="1"/>
  <c r="C118" i="5"/>
  <c r="B118" i="5"/>
  <c r="E117" i="2"/>
  <c r="E118" i="2" l="1"/>
  <c r="B119" i="5"/>
  <c r="F118" i="2"/>
  <c r="C119" i="5"/>
  <c r="F119" i="2" l="1"/>
  <c r="C120" i="5"/>
  <c r="E119" i="2"/>
  <c r="B120" i="5"/>
  <c r="E120" i="2" l="1"/>
  <c r="B121" i="5"/>
  <c r="F120" i="2"/>
  <c r="C121" i="5"/>
  <c r="C122" i="5" l="1"/>
  <c r="F121" i="2"/>
  <c r="E121" i="2"/>
  <c r="B122" i="5"/>
  <c r="B123" i="5" l="1"/>
  <c r="E122" i="2"/>
  <c r="C123" i="5"/>
  <c r="F122" i="2"/>
  <c r="F123" i="2" l="1"/>
  <c r="C124" i="5"/>
  <c r="E123" i="2"/>
  <c r="B124" i="5"/>
  <c r="E124" i="2" l="1"/>
  <c r="B125" i="5"/>
  <c r="F124" i="2"/>
  <c r="C125" i="5"/>
  <c r="F125" i="2" l="1"/>
  <c r="C126" i="5"/>
  <c r="E125" i="2"/>
  <c r="B126" i="5"/>
  <c r="B127" i="5" l="1"/>
  <c r="E126" i="2"/>
  <c r="F126" i="2"/>
  <c r="C127" i="5"/>
  <c r="C128" i="5" l="1"/>
  <c r="F127" i="2"/>
  <c r="B128" i="5"/>
  <c r="E127" i="2"/>
  <c r="E128" i="2" l="1"/>
  <c r="B129" i="5"/>
  <c r="F128" i="2"/>
  <c r="C129" i="5"/>
  <c r="F129" i="2" l="1"/>
  <c r="C130" i="5"/>
  <c r="E129" i="2"/>
  <c r="B130" i="5"/>
  <c r="E130" i="2" l="1"/>
  <c r="B131" i="5"/>
  <c r="F130" i="2"/>
  <c r="C131" i="5"/>
  <c r="C132" i="5" l="1"/>
  <c r="F131" i="2"/>
  <c r="E131" i="2"/>
  <c r="B132" i="5"/>
  <c r="B133" i="5" l="1"/>
  <c r="E132" i="2"/>
  <c r="C133" i="5"/>
  <c r="F132" i="2"/>
  <c r="F133" i="2" l="1"/>
  <c r="C134" i="5"/>
  <c r="B134" i="5"/>
  <c r="E133" i="2"/>
  <c r="E134" i="2" l="1"/>
  <c r="B135" i="5"/>
  <c r="F134" i="2"/>
  <c r="C135" i="5"/>
  <c r="F135" i="2" l="1"/>
  <c r="C136" i="5"/>
  <c r="E135" i="2"/>
  <c r="B136" i="5"/>
  <c r="E136" i="2" l="1"/>
  <c r="B137" i="5"/>
  <c r="F136" i="2"/>
  <c r="C137" i="5"/>
  <c r="C138" i="5" l="1"/>
  <c r="F137" i="2"/>
  <c r="E137" i="2"/>
  <c r="B138" i="5"/>
  <c r="B139" i="5" l="1"/>
  <c r="E138" i="2"/>
  <c r="C139" i="5"/>
  <c r="F138" i="2"/>
  <c r="F139" i="2" l="1"/>
  <c r="C140" i="5"/>
  <c r="E139" i="2"/>
  <c r="B140" i="5"/>
  <c r="E140" i="2" l="1"/>
  <c r="B141" i="5"/>
  <c r="F140" i="2"/>
  <c r="C141" i="5"/>
  <c r="F141" i="2" l="1"/>
  <c r="C142" i="5"/>
  <c r="E141" i="2"/>
  <c r="B142" i="5"/>
  <c r="E142" i="2" l="1"/>
  <c r="B143" i="5"/>
  <c r="F142" i="2"/>
  <c r="C143" i="5"/>
  <c r="C144" i="5" l="1"/>
  <c r="F143" i="2"/>
  <c r="B144" i="5"/>
  <c r="E143" i="2"/>
  <c r="E144" i="2" l="1"/>
  <c r="B145" i="5"/>
  <c r="F144" i="2"/>
  <c r="C145" i="5"/>
  <c r="F145" i="2" l="1"/>
  <c r="C146" i="5"/>
  <c r="E145" i="2"/>
  <c r="B146" i="5"/>
  <c r="E146" i="2" l="1"/>
  <c r="B147" i="5"/>
  <c r="F146" i="2"/>
  <c r="C147" i="5"/>
  <c r="C148" i="5" l="1"/>
  <c r="F147" i="2"/>
  <c r="E147" i="2"/>
  <c r="B148" i="5"/>
  <c r="B149" i="5" l="1"/>
  <c r="E148" i="2"/>
  <c r="C149" i="5"/>
  <c r="F148" i="2"/>
  <c r="F149" i="2" l="1"/>
  <c r="C150" i="5"/>
  <c r="B150" i="5"/>
  <c r="E149" i="2"/>
  <c r="E150" i="2" l="1"/>
  <c r="B151" i="5"/>
  <c r="F150" i="2"/>
  <c r="C151" i="5"/>
  <c r="F151" i="2" l="1"/>
  <c r="C152" i="5"/>
  <c r="E151" i="2"/>
  <c r="B152" i="5"/>
  <c r="E152" i="2" l="1"/>
  <c r="B153" i="5"/>
  <c r="F152" i="2"/>
  <c r="C153" i="5"/>
  <c r="C154" i="5" l="1"/>
  <c r="F153" i="2"/>
  <c r="E153" i="2"/>
  <c r="B154" i="5"/>
  <c r="B155" i="5" l="1"/>
  <c r="E154" i="2"/>
  <c r="C155" i="5"/>
  <c r="F154" i="2"/>
  <c r="F155" i="2" l="1"/>
  <c r="C156" i="5"/>
  <c r="E155" i="2"/>
  <c r="B156" i="5"/>
  <c r="E156" i="2" l="1"/>
  <c r="B157" i="5"/>
  <c r="F156" i="2"/>
  <c r="C157" i="5"/>
  <c r="F157" i="2" l="1"/>
  <c r="C158" i="5"/>
  <c r="E157" i="2"/>
  <c r="B158" i="5"/>
  <c r="B159" i="5" l="1"/>
  <c r="E158" i="2"/>
  <c r="F158" i="2"/>
  <c r="C159" i="5"/>
  <c r="C160" i="5" l="1"/>
  <c r="F159" i="2"/>
  <c r="B160" i="5"/>
  <c r="E159" i="2"/>
  <c r="E160" i="2" l="1"/>
  <c r="B161" i="5"/>
  <c r="F160" i="2"/>
  <c r="C161" i="5"/>
  <c r="F161" i="2" l="1"/>
  <c r="C162" i="5"/>
  <c r="E161" i="2"/>
  <c r="B162" i="5"/>
  <c r="E162" i="2" l="1"/>
  <c r="B163" i="5"/>
  <c r="F162" i="2"/>
  <c r="C163" i="5"/>
  <c r="C164" i="5" l="1"/>
  <c r="F163" i="2"/>
  <c r="E163" i="2"/>
  <c r="B164" i="5"/>
  <c r="B165" i="5" l="1"/>
  <c r="E164" i="2"/>
  <c r="C165" i="5"/>
  <c r="F164" i="2"/>
  <c r="F165" i="2" l="1"/>
  <c r="C166" i="5"/>
  <c r="B166" i="5"/>
  <c r="E165" i="2"/>
  <c r="E166" i="2" l="1"/>
  <c r="B167" i="5"/>
  <c r="F166" i="2"/>
  <c r="C167" i="5"/>
  <c r="F167" i="2" l="1"/>
  <c r="C168" i="5"/>
  <c r="E167" i="2"/>
  <c r="B168" i="5"/>
  <c r="E168" i="2" l="1"/>
  <c r="B169" i="5"/>
  <c r="F168" i="2"/>
  <c r="C169" i="5"/>
  <c r="C170" i="5" l="1"/>
  <c r="F169" i="2"/>
  <c r="E169" i="2"/>
  <c r="B170" i="5"/>
  <c r="B171" i="5" l="1"/>
  <c r="E170" i="2"/>
  <c r="C171" i="5"/>
  <c r="F170" i="2"/>
  <c r="F171" i="2" l="1"/>
  <c r="C172" i="5"/>
  <c r="E171" i="2"/>
  <c r="B172" i="5"/>
  <c r="E172" i="2" l="1"/>
  <c r="B173" i="5"/>
  <c r="F172" i="2"/>
  <c r="C173" i="5"/>
  <c r="F173" i="2" l="1"/>
  <c r="C174" i="5"/>
  <c r="E173" i="2"/>
  <c r="B174" i="5"/>
  <c r="B175" i="5" l="1"/>
  <c r="E174" i="2"/>
  <c r="F174" i="2"/>
  <c r="C175" i="5"/>
  <c r="C176" i="5" l="1"/>
  <c r="F175" i="2"/>
  <c r="B176" i="5"/>
  <c r="E175" i="2"/>
  <c r="C177" i="5" l="1"/>
  <c r="F176" i="2"/>
  <c r="E176" i="2"/>
  <c r="B177" i="5"/>
  <c r="E177" i="2" l="1"/>
  <c r="B178" i="5"/>
  <c r="F177" i="2"/>
  <c r="C178" i="5"/>
  <c r="F178" i="2" l="1"/>
  <c r="C179" i="5"/>
  <c r="E178" i="2"/>
  <c r="B179" i="5"/>
  <c r="E179" i="2" l="1"/>
  <c r="B180" i="5"/>
  <c r="F179" i="2"/>
  <c r="C180" i="5"/>
  <c r="C181" i="5" l="1"/>
  <c r="F180" i="2"/>
  <c r="B181" i="5"/>
  <c r="E180" i="2"/>
  <c r="B182" i="5" l="1"/>
  <c r="E181" i="2"/>
  <c r="F181" i="2"/>
  <c r="C182" i="5"/>
  <c r="F182" i="2" l="1"/>
  <c r="C183" i="5"/>
  <c r="E182" i="2"/>
  <c r="B183" i="5"/>
  <c r="E183" i="2" l="1"/>
  <c r="B184" i="5"/>
  <c r="F183" i="2"/>
  <c r="C184" i="5"/>
  <c r="F184" i="2" l="1"/>
  <c r="C185" i="5"/>
  <c r="E184" i="2"/>
  <c r="B185" i="5"/>
  <c r="E185" i="2" l="1"/>
  <c r="B186" i="5"/>
  <c r="C186" i="5"/>
  <c r="F185" i="2"/>
  <c r="C187" i="5" l="1"/>
  <c r="F186" i="2"/>
  <c r="B187" i="5"/>
  <c r="E186" i="2"/>
  <c r="F187" i="2" l="1"/>
  <c r="C188" i="5"/>
  <c r="B188" i="5"/>
  <c r="E187" i="2"/>
  <c r="E188" i="2" l="1"/>
  <c r="B189" i="5"/>
  <c r="F188" i="2"/>
  <c r="C189" i="5"/>
  <c r="F189" i="2" l="1"/>
  <c r="C190" i="5"/>
  <c r="E189" i="2"/>
  <c r="B190" i="5"/>
  <c r="B191" i="5" l="1"/>
  <c r="E190" i="2"/>
  <c r="F190" i="2"/>
  <c r="C191" i="5"/>
  <c r="B192" i="5" l="1"/>
  <c r="E191" i="2"/>
  <c r="C192" i="5"/>
  <c r="F191" i="2"/>
  <c r="F192" i="2" l="1"/>
  <c r="C193" i="5"/>
  <c r="E192" i="2"/>
  <c r="B193" i="5"/>
  <c r="E193" i="2" l="1"/>
  <c r="B194" i="5"/>
  <c r="F193" i="2"/>
  <c r="C194" i="5"/>
  <c r="F194" i="2" l="1"/>
  <c r="C195" i="5"/>
  <c r="E194" i="2"/>
  <c r="B195" i="5"/>
  <c r="E195" i="2" l="1"/>
  <c r="B196" i="5"/>
  <c r="F195" i="2"/>
  <c r="C196" i="5"/>
  <c r="C197" i="5" l="1"/>
  <c r="F196" i="2"/>
  <c r="B197" i="5"/>
  <c r="E196" i="2"/>
  <c r="B198" i="5" l="1"/>
  <c r="E197" i="2"/>
  <c r="F197" i="2"/>
  <c r="C198" i="5"/>
  <c r="F198" i="2" l="1"/>
  <c r="C199" i="5"/>
  <c r="E198" i="2"/>
  <c r="B199" i="5"/>
  <c r="E199" i="2" l="1"/>
  <c r="B200" i="5"/>
  <c r="F199" i="2"/>
  <c r="C200" i="5"/>
  <c r="F200" i="2" l="1"/>
  <c r="C201" i="5"/>
  <c r="E200" i="2"/>
  <c r="B201" i="5"/>
  <c r="E201" i="2" l="1"/>
  <c r="B202" i="5"/>
  <c r="C202" i="5"/>
  <c r="F201" i="2"/>
  <c r="C203" i="5" l="1"/>
  <c r="F202" i="2"/>
  <c r="B203" i="5"/>
  <c r="E202" i="2"/>
  <c r="F203" i="2" l="1"/>
  <c r="C204" i="5"/>
  <c r="E203" i="2"/>
  <c r="B204" i="5"/>
  <c r="E204" i="2" l="1"/>
  <c r="B205" i="5"/>
  <c r="F204" i="2"/>
  <c r="C205" i="5"/>
  <c r="F205" i="2" l="1"/>
  <c r="C206" i="5"/>
  <c r="E205" i="2"/>
  <c r="B206" i="5"/>
  <c r="E206" i="2" l="1"/>
  <c r="B207" i="5"/>
  <c r="F206" i="2"/>
  <c r="C207" i="5"/>
  <c r="C208" i="5" l="1"/>
  <c r="F207" i="2"/>
  <c r="B208" i="5"/>
  <c r="E207" i="2"/>
  <c r="E208" i="2" l="1"/>
  <c r="B209" i="5"/>
  <c r="F208" i="2"/>
  <c r="C209" i="5"/>
  <c r="F209" i="2" l="1"/>
  <c r="C210" i="5"/>
  <c r="E209" i="2"/>
  <c r="B210" i="5"/>
  <c r="E210" i="2" l="1"/>
  <c r="B211" i="5"/>
  <c r="F210" i="2"/>
  <c r="C211" i="5"/>
  <c r="C212" i="5" l="1"/>
  <c r="F211" i="2"/>
  <c r="E211" i="2"/>
  <c r="B212" i="5"/>
  <c r="B213" i="5" l="1"/>
  <c r="E212" i="2"/>
  <c r="C213" i="5"/>
  <c r="F212" i="2"/>
  <c r="B214" i="5" l="1"/>
  <c r="E213" i="2"/>
  <c r="F213" i="2"/>
  <c r="C214" i="5"/>
  <c r="E214" i="2" l="1"/>
  <c r="B215" i="5"/>
  <c r="F214" i="2"/>
  <c r="C215" i="5"/>
  <c r="F215" i="2" l="1"/>
  <c r="C216" i="5"/>
  <c r="E215" i="2"/>
  <c r="B216" i="5"/>
  <c r="E216" i="2" l="1"/>
  <c r="B217" i="5"/>
  <c r="F216" i="2"/>
  <c r="C217" i="5"/>
  <c r="C218" i="5" l="1"/>
  <c r="F217" i="2"/>
  <c r="E217" i="2"/>
  <c r="B218" i="5"/>
  <c r="B219" i="5" l="1"/>
  <c r="B5" i="3"/>
  <c r="C219" i="5"/>
  <c r="C5" i="3"/>
</calcChain>
</file>

<file path=xl/sharedStrings.xml><?xml version="1.0" encoding="utf-8"?>
<sst xmlns="http://schemas.openxmlformats.org/spreadsheetml/2006/main" count="224" uniqueCount="68">
  <si>
    <t>MATH 5380 — Project 1 (Long-Only Multi-Asset, Black-Litterman)</t>
  </si>
  <si>
    <t>Data file:</t>
  </si>
  <si>
    <t>E:\Columbia_Files\MATH5380\project\Data for final project 1.xlsx</t>
  </si>
  <si>
    <t>Output:</t>
  </si>
  <si>
    <t>E:\Columbia_Files\MATH5380\project\project\MATH5380-project\project1_results.xlsx</t>
  </si>
  <si>
    <t>Benchmark monthly return = same convention as code: constant year-end mkt weights within each calendar year (see report).</t>
  </si>
  <si>
    <t>Statistics below use Excel formulas referencing Data_Monthly.</t>
  </si>
  <si>
    <t>Date</t>
  </si>
  <si>
    <t>Portfolio_Monthly_Ret</t>
  </si>
  <si>
    <t>Benchmark_Monthly_Ret</t>
  </si>
  <si>
    <t>Active_Monthly</t>
  </si>
  <si>
    <t>Wealth_Index_Portfolio</t>
  </si>
  <si>
    <t>Wealth_Index_Benchmark</t>
  </si>
  <si>
    <t>Total Return Statistics</t>
  </si>
  <si>
    <t>Label</t>
  </si>
  <si>
    <t>Portfolio</t>
  </si>
  <si>
    <t>Benchmark</t>
  </si>
  <si>
    <t>Geometrically annualized total return (full sample)</t>
  </si>
  <si>
    <t>Annualized volatility of total returns (monthly, ann.)</t>
  </si>
  <si>
    <t>Active Return Statistics</t>
  </si>
  <si>
    <t>Arithmetically annualized active return (vs benchmark)</t>
  </si>
  <si>
    <t>Annualized volatility of active returns (tracking error)</t>
  </si>
  <si>
    <t>Information ratio</t>
  </si>
  <si>
    <t>Gross Returns</t>
  </si>
  <si>
    <t>Growth of $1 (end-of-month wealth; values reference Data_Monthly columns E–F)</t>
  </si>
  <si>
    <t>Portfolio wealth ($1 start)</t>
  </si>
  <si>
    <t>Benchmark wealth ($1 start)</t>
  </si>
  <si>
    <t>Weights (market &amp; optimal) — each row = hold year of portfolio</t>
  </si>
  <si>
    <t>Year</t>
  </si>
  <si>
    <t>Russell 1000 Value</t>
  </si>
  <si>
    <t>Russell 1000 Growth</t>
  </si>
  <si>
    <t>Russell 2000 Value</t>
  </si>
  <si>
    <t>Russell 2000 Growth</t>
  </si>
  <si>
    <t>MSCI World Ex USA Value NR USD</t>
  </si>
  <si>
    <t>MSCI World Ex USA Growth NR USD</t>
  </si>
  <si>
    <t>MSCI World Ex USA Small Value NR USD</t>
  </si>
  <si>
    <t>MSCI World Ex USA Small Growth NR USD</t>
  </si>
  <si>
    <t>MSCI EM Value NR USD</t>
  </si>
  <si>
    <t>MSCI EM Growth NR USD</t>
  </si>
  <si>
    <t>MSCI EM Small Value NR USD</t>
  </si>
  <si>
    <t>MSCI EM Small Growth NR USD</t>
  </si>
  <si>
    <t>Bloomberg Barclays US Aggregate</t>
  </si>
  <si>
    <t>Bloomberg Barclays Global Aggregate x USD</t>
  </si>
  <si>
    <t>Bloomberg Barclays Global Inflation-Linked USD</t>
  </si>
  <si>
    <t>Bloomberg Barclays US Municipal Bond</t>
  </si>
  <si>
    <t>Bloomberg Barclays Global High Yield USD</t>
  </si>
  <si>
    <t>— Market cap (or benchmark) weights</t>
  </si>
  <si>
    <t>— Optimal portfolio weights</t>
  </si>
  <si>
    <t>View portfolio weights (P rows) &amp; Q (annual, relative return)</t>
  </si>
  <si>
    <t>View_ID</t>
  </si>
  <si>
    <t>Q_annual</t>
  </si>
  <si>
    <t>View 1</t>
  </si>
  <si>
    <t>View 2</t>
  </si>
  <si>
    <t>Parameters (risk aversion &amp; confidence in BL; same each year in this build)</t>
  </si>
  <si>
    <t>hold_year (portfolio applied year)</t>
  </si>
  <si>
    <t>delta (risk aversion, same in pi &amp; MVO)</t>
  </si>
  <si>
    <t>tau (on Sigma for BL prior scale)</t>
  </si>
  <si>
    <t>omega_scale (views uncertainty multiplier; &gt;1 = weaker views)</t>
  </si>
  <si>
    <t>Expected Returns — market-implied π and Black–Litterman μ_BL (annual)</t>
  </si>
  <si>
    <t>— Market-implied (equilibrium) returns π = δ Σ w_mkt</t>
  </si>
  <si>
    <t>— Black–Litterman blended E[r] μ_BL (annual)</t>
  </si>
  <si>
    <t>Section 8 — Final portfolio year: 2025 (annualized)</t>
  </si>
  <si>
    <t>Covariances (annualized) — use same Σ as in optimization for the final year</t>
  </si>
  <si>
    <t>Volatilities (annual, from final Σ)</t>
  </si>
  <si>
    <t>Asset</t>
  </si>
  <si>
    <t>Ann. Vol (sqrt of diag in decimal variance units)</t>
  </si>
  <si>
    <t>Correlations (from final annualized Σ)</t>
  </si>
  <si>
    <t>Investment universe (asset class categories)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</si>
</sst>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5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Returns — Growth of $1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Gross_Returns!$B$3</c:f>
              <c:strCache>
                <c:ptCount val="1"/>
                <c:pt idx="0">
                  <c:v>Portfolio wealth ($1 start)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Gross_Returns!$A$4:$A$219</c:f>
              <c:numCache>
                <c:formatCode>General</c:formatCode>
                <c:ptCount val="216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39813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40178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40326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40543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40907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41274</c:v>
                </c:pt>
                <c:pt idx="60">
                  <c:v>41305</c:v>
                </c:pt>
                <c:pt idx="61">
                  <c:v>41333</c:v>
                </c:pt>
                <c:pt idx="62">
                  <c:v>41361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41639</c:v>
                </c:pt>
                <c:pt idx="72">
                  <c:v>41670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42004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42369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42734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43098</c:v>
                </c:pt>
                <c:pt idx="120">
                  <c:v>43131</c:v>
                </c:pt>
                <c:pt idx="121">
                  <c:v>43159</c:v>
                </c:pt>
                <c:pt idx="122">
                  <c:v>43188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43465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43830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43951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44104</c:v>
                </c:pt>
                <c:pt idx="153">
                  <c:v>44134</c:v>
                </c:pt>
                <c:pt idx="154">
                  <c:v>44165</c:v>
                </c:pt>
                <c:pt idx="155">
                  <c:v>44196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44344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44561</c:v>
                </c:pt>
                <c:pt idx="168">
                  <c:v>44592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44925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45198</c:v>
                </c:pt>
                <c:pt idx="189">
                  <c:v>45230</c:v>
                </c:pt>
                <c:pt idx="190">
                  <c:v>45260</c:v>
                </c:pt>
                <c:pt idx="191">
                  <c:v>45289</c:v>
                </c:pt>
                <c:pt idx="192">
                  <c:v>45322</c:v>
                </c:pt>
                <c:pt idx="193">
                  <c:v>45351</c:v>
                </c:pt>
                <c:pt idx="194">
                  <c:v>45379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45657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46022</c:v>
                </c:pt>
              </c:numCache>
            </c:numRef>
          </c:cat>
          <c:val>
            <c:numRef>
              <c:f>Gross_Returns!$B$4:$B$219</c:f>
              <c:numCache>
                <c:formatCode>General</c:formatCode>
                <c:ptCount val="216"/>
                <c:pt idx="0">
                  <c:v>0.97632507750920039</c:v>
                </c:pt>
                <c:pt idx="1">
                  <c:v>0.97936124036087469</c:v>
                </c:pt>
                <c:pt idx="2">
                  <c:v>0.98298244471451957</c:v>
                </c:pt>
                <c:pt idx="3">
                  <c:v>0.99937569025810769</c:v>
                </c:pt>
                <c:pt idx="4">
                  <c:v>1.0037305037091506</c:v>
                </c:pt>
                <c:pt idx="5">
                  <c:v>0.96615717349047125</c:v>
                </c:pt>
                <c:pt idx="6">
                  <c:v>0.95804614420324552</c:v>
                </c:pt>
                <c:pt idx="7">
                  <c:v>0.94712455679266605</c:v>
                </c:pt>
                <c:pt idx="8">
                  <c:v>0.87918016333882087</c:v>
                </c:pt>
                <c:pt idx="9">
                  <c:v>0.7804366616681746</c:v>
                </c:pt>
                <c:pt idx="10">
                  <c:v>0.76453597887505476</c:v>
                </c:pt>
                <c:pt idx="11">
                  <c:v>0.80200211516274733</c:v>
                </c:pt>
                <c:pt idx="12">
                  <c:v>0.76812303141384985</c:v>
                </c:pt>
                <c:pt idx="13">
                  <c:v>0.7335514273899022</c:v>
                </c:pt>
                <c:pt idx="14">
                  <c:v>0.76345875829251797</c:v>
                </c:pt>
                <c:pt idx="15">
                  <c:v>0.79607523111606482</c:v>
                </c:pt>
                <c:pt idx="16">
                  <c:v>0.83134398150771938</c:v>
                </c:pt>
                <c:pt idx="17">
                  <c:v>0.8331867828853905</c:v>
                </c:pt>
                <c:pt idx="18">
                  <c:v>0.86688492514511639</c:v>
                </c:pt>
                <c:pt idx="19">
                  <c:v>0.88700085272346951</c:v>
                </c:pt>
                <c:pt idx="20">
                  <c:v>0.91241680739567843</c:v>
                </c:pt>
                <c:pt idx="21">
                  <c:v>0.90718299599502616</c:v>
                </c:pt>
                <c:pt idx="22">
                  <c:v>0.93603153002618589</c:v>
                </c:pt>
                <c:pt idx="23">
                  <c:v>0.92392989459659247</c:v>
                </c:pt>
                <c:pt idx="24">
                  <c:v>0.91337277254778548</c:v>
                </c:pt>
                <c:pt idx="25">
                  <c:v>0.92311730590926599</c:v>
                </c:pt>
                <c:pt idx="26">
                  <c:v>0.94126324655230897</c:v>
                </c:pt>
                <c:pt idx="27">
                  <c:v>0.94746592472094238</c:v>
                </c:pt>
                <c:pt idx="28">
                  <c:v>0.91078397232979724</c:v>
                </c:pt>
                <c:pt idx="29">
                  <c:v>0.90230392545999238</c:v>
                </c:pt>
                <c:pt idx="30">
                  <c:v>0.94501040615845311</c:v>
                </c:pt>
                <c:pt idx="31">
                  <c:v>0.93881869276937391</c:v>
                </c:pt>
                <c:pt idx="32">
                  <c:v>0.98425610159347199</c:v>
                </c:pt>
                <c:pt idx="33">
                  <c:v>1.0047597087845992</c:v>
                </c:pt>
                <c:pt idx="34">
                  <c:v>0.98116720818006975</c:v>
                </c:pt>
                <c:pt idx="35">
                  <c:v>1.0123587987647698</c:v>
                </c:pt>
                <c:pt idx="36">
                  <c:v>1.0203259180911832</c:v>
                </c:pt>
                <c:pt idx="37">
                  <c:v>1.0384009341040494</c:v>
                </c:pt>
                <c:pt idx="38">
                  <c:v>1.041893311937115</c:v>
                </c:pt>
                <c:pt idx="39">
                  <c:v>1.0738874271141157</c:v>
                </c:pt>
                <c:pt idx="40">
                  <c:v>1.0688446394841091</c:v>
                </c:pt>
                <c:pt idx="41">
                  <c:v>1.0622220125175765</c:v>
                </c:pt>
                <c:pt idx="42">
                  <c:v>1.0664324794267948</c:v>
                </c:pt>
                <c:pt idx="43">
                  <c:v>1.0483031877689382</c:v>
                </c:pt>
                <c:pt idx="44">
                  <c:v>1.0027595503235454</c:v>
                </c:pt>
                <c:pt idx="45">
                  <c:v>1.0532859667945136</c:v>
                </c:pt>
                <c:pt idx="46">
                  <c:v>1.0392965068956861</c:v>
                </c:pt>
                <c:pt idx="47">
                  <c:v>1.0460549569107889</c:v>
                </c:pt>
                <c:pt idx="48">
                  <c:v>1.0768824341280698</c:v>
                </c:pt>
                <c:pt idx="49">
                  <c:v>1.0914574612800045</c:v>
                </c:pt>
                <c:pt idx="50">
                  <c:v>1.095326874245385</c:v>
                </c:pt>
                <c:pt idx="51">
                  <c:v>1.1004690254388678</c:v>
                </c:pt>
                <c:pt idx="52">
                  <c:v>1.0692889649621922</c:v>
                </c:pt>
                <c:pt idx="53">
                  <c:v>1.0876842389412111</c:v>
                </c:pt>
                <c:pt idx="54">
                  <c:v>1.0986700530250277</c:v>
                </c:pt>
                <c:pt idx="55">
                  <c:v>1.1141883496916436</c:v>
                </c:pt>
                <c:pt idx="56">
                  <c:v>1.1325024389977016</c:v>
                </c:pt>
                <c:pt idx="57">
                  <c:v>1.1262207851127282</c:v>
                </c:pt>
                <c:pt idx="58">
                  <c:v>1.1311902464742787</c:v>
                </c:pt>
                <c:pt idx="59">
                  <c:v>1.1354126124202177</c:v>
                </c:pt>
                <c:pt idx="60">
                  <c:v>1.1506815110733941</c:v>
                </c:pt>
                <c:pt idx="61">
                  <c:v>1.148230026763331</c:v>
                </c:pt>
                <c:pt idx="62">
                  <c:v>1.160444706261138</c:v>
                </c:pt>
                <c:pt idx="63">
                  <c:v>1.1781014806618404</c:v>
                </c:pt>
                <c:pt idx="64">
                  <c:v>1.1636808526543847</c:v>
                </c:pt>
                <c:pt idx="65">
                  <c:v>1.1462522821534316</c:v>
                </c:pt>
                <c:pt idx="66">
                  <c:v>1.175548744736971</c:v>
                </c:pt>
                <c:pt idx="67">
                  <c:v>1.1608303228658536</c:v>
                </c:pt>
                <c:pt idx="68">
                  <c:v>1.1946394168952235</c:v>
                </c:pt>
                <c:pt idx="69">
                  <c:v>1.2175402348764628</c:v>
                </c:pt>
                <c:pt idx="70">
                  <c:v>1.2229162800796836</c:v>
                </c:pt>
                <c:pt idx="71">
                  <c:v>1.2280286925811892</c:v>
                </c:pt>
                <c:pt idx="72">
                  <c:v>1.2222597756534188</c:v>
                </c:pt>
                <c:pt idx="73">
                  <c:v>1.2546361057981137</c:v>
                </c:pt>
                <c:pt idx="74">
                  <c:v>1.2553864645144455</c:v>
                </c:pt>
                <c:pt idx="75">
                  <c:v>1.2652420758595941</c:v>
                </c:pt>
                <c:pt idx="76">
                  <c:v>1.2804725634986416</c:v>
                </c:pt>
                <c:pt idx="77">
                  <c:v>1.2970998260233957</c:v>
                </c:pt>
                <c:pt idx="78">
                  <c:v>1.280947002076497</c:v>
                </c:pt>
                <c:pt idx="79">
                  <c:v>1.3033534594032681</c:v>
                </c:pt>
                <c:pt idx="80">
                  <c:v>1.2711466365052548</c:v>
                </c:pt>
                <c:pt idx="81">
                  <c:v>1.2825258232030889</c:v>
                </c:pt>
                <c:pt idx="82">
                  <c:v>1.2911226876261133</c:v>
                </c:pt>
                <c:pt idx="83">
                  <c:v>1.2844268408099895</c:v>
                </c:pt>
                <c:pt idx="84">
                  <c:v>1.2746294161603346</c:v>
                </c:pt>
                <c:pt idx="85">
                  <c:v>1.2963779923690881</c:v>
                </c:pt>
                <c:pt idx="86">
                  <c:v>1.285828201969883</c:v>
                </c:pt>
                <c:pt idx="87">
                  <c:v>1.2963993953500901</c:v>
                </c:pt>
                <c:pt idx="88">
                  <c:v>1.2897911789661851</c:v>
                </c:pt>
                <c:pt idx="89">
                  <c:v>1.2786723909154463</c:v>
                </c:pt>
                <c:pt idx="90">
                  <c:v>1.2891692532604346</c:v>
                </c:pt>
                <c:pt idx="91">
                  <c:v>1.2588780209446395</c:v>
                </c:pt>
                <c:pt idx="92">
                  <c:v>1.246507415467583</c:v>
                </c:pt>
                <c:pt idx="93">
                  <c:v>1.2846239765956633</c:v>
                </c:pt>
                <c:pt idx="94">
                  <c:v>1.2760813795359587</c:v>
                </c:pt>
                <c:pt idx="95">
                  <c:v>1.2685010503846168</c:v>
                </c:pt>
                <c:pt idx="96">
                  <c:v>1.2448599217755636</c:v>
                </c:pt>
                <c:pt idx="97">
                  <c:v>1.2574384515970223</c:v>
                </c:pt>
                <c:pt idx="98">
                  <c:v>1.3102877792933807</c:v>
                </c:pt>
                <c:pt idx="99">
                  <c:v>1.3243451698805586</c:v>
                </c:pt>
                <c:pt idx="100">
                  <c:v>1.3240707733910457</c:v>
                </c:pt>
                <c:pt idx="101">
                  <c:v>1.3439059785059839</c:v>
                </c:pt>
                <c:pt idx="102">
                  <c:v>1.3726012996561525</c:v>
                </c:pt>
                <c:pt idx="103">
                  <c:v>1.3722025594219318</c:v>
                </c:pt>
                <c:pt idx="104">
                  <c:v>1.3775611495023887</c:v>
                </c:pt>
                <c:pt idx="105">
                  <c:v>1.3434794400588224</c:v>
                </c:pt>
                <c:pt idx="106">
                  <c:v>1.3350771835925985</c:v>
                </c:pt>
                <c:pt idx="107">
                  <c:v>1.3445639983515434</c:v>
                </c:pt>
                <c:pt idx="108">
                  <c:v>1.3641400468225711</c:v>
                </c:pt>
                <c:pt idx="109">
                  <c:v>1.3861923507126017</c:v>
                </c:pt>
                <c:pt idx="110">
                  <c:v>1.3901827738536856</c:v>
                </c:pt>
                <c:pt idx="111">
                  <c:v>1.4071586190025538</c:v>
                </c:pt>
                <c:pt idx="112">
                  <c:v>1.4257882944821687</c:v>
                </c:pt>
                <c:pt idx="113">
                  <c:v>1.4297551174082801</c:v>
                </c:pt>
                <c:pt idx="114">
                  <c:v>1.4539830726618672</c:v>
                </c:pt>
                <c:pt idx="115">
                  <c:v>1.4641728473368154</c:v>
                </c:pt>
                <c:pt idx="116">
                  <c:v>1.4724844768169276</c:v>
                </c:pt>
                <c:pt idx="117">
                  <c:v>1.4829910113639779</c:v>
                </c:pt>
                <c:pt idx="118">
                  <c:v>1.5069735988672988</c:v>
                </c:pt>
                <c:pt idx="119">
                  <c:v>1.5175094107461806</c:v>
                </c:pt>
                <c:pt idx="120">
                  <c:v>1.5574814764216949</c:v>
                </c:pt>
                <c:pt idx="121">
                  <c:v>1.5248275839504672</c:v>
                </c:pt>
                <c:pt idx="122">
                  <c:v>1.5228660078966929</c:v>
                </c:pt>
                <c:pt idx="123">
                  <c:v>1.5139538074740375</c:v>
                </c:pt>
                <c:pt idx="124">
                  <c:v>1.5244933130310976</c:v>
                </c:pt>
                <c:pt idx="125">
                  <c:v>1.5229824443739588</c:v>
                </c:pt>
                <c:pt idx="126">
                  <c:v>1.5406465899208612</c:v>
                </c:pt>
                <c:pt idx="127">
                  <c:v>1.5599095871457553</c:v>
                </c:pt>
                <c:pt idx="128">
                  <c:v>1.5523829719371511</c:v>
                </c:pt>
                <c:pt idx="129">
                  <c:v>1.4921128565318875</c:v>
                </c:pt>
                <c:pt idx="130">
                  <c:v>1.505852960381266</c:v>
                </c:pt>
                <c:pt idx="131">
                  <c:v>1.4684362806430995</c:v>
                </c:pt>
                <c:pt idx="132">
                  <c:v>1.5304339544984653</c:v>
                </c:pt>
                <c:pt idx="133">
                  <c:v>1.5468956884795171</c:v>
                </c:pt>
                <c:pt idx="134">
                  <c:v>1.5676937396580821</c:v>
                </c:pt>
                <c:pt idx="135">
                  <c:v>1.5879924213956316</c:v>
                </c:pt>
                <c:pt idx="136">
                  <c:v>1.5625511212524494</c:v>
                </c:pt>
                <c:pt idx="137">
                  <c:v>1.623040325745021</c:v>
                </c:pt>
                <c:pt idx="138">
                  <c:v>1.6283100650476761</c:v>
                </c:pt>
                <c:pt idx="139">
                  <c:v>1.6343428539837144</c:v>
                </c:pt>
                <c:pt idx="140">
                  <c:v>1.6345329945212255</c:v>
                </c:pt>
                <c:pt idx="141">
                  <c:v>1.6564319020405307</c:v>
                </c:pt>
                <c:pt idx="142">
                  <c:v>1.6721243316100947</c:v>
                </c:pt>
                <c:pt idx="143">
                  <c:v>1.6976490186666338</c:v>
                </c:pt>
                <c:pt idx="144">
                  <c:v>1.7101954895002114</c:v>
                </c:pt>
                <c:pt idx="145">
                  <c:v>1.6615421444523688</c:v>
                </c:pt>
                <c:pt idx="146">
                  <c:v>1.5453577423903866</c:v>
                </c:pt>
                <c:pt idx="147">
                  <c:v>1.6407634079418698</c:v>
                </c:pt>
                <c:pt idx="148">
                  <c:v>1.6831322512281177</c:v>
                </c:pt>
                <c:pt idx="149">
                  <c:v>1.7128054321432753</c:v>
                </c:pt>
                <c:pt idx="150">
                  <c:v>1.785175279719466</c:v>
                </c:pt>
                <c:pt idx="151">
                  <c:v>1.8330717705974136</c:v>
                </c:pt>
                <c:pt idx="152">
                  <c:v>1.8049352754581465</c:v>
                </c:pt>
                <c:pt idx="153">
                  <c:v>1.7871595234453537</c:v>
                </c:pt>
                <c:pt idx="154">
                  <c:v>1.8971134769369569</c:v>
                </c:pt>
                <c:pt idx="155">
                  <c:v>1.9494421507414845</c:v>
                </c:pt>
                <c:pt idx="156">
                  <c:v>1.9367316023455341</c:v>
                </c:pt>
                <c:pt idx="157">
                  <c:v>1.9347087188994896</c:v>
                </c:pt>
                <c:pt idx="158">
                  <c:v>1.9362353507285657</c:v>
                </c:pt>
                <c:pt idx="159">
                  <c:v>1.9877295871346969</c:v>
                </c:pt>
                <c:pt idx="160">
                  <c:v>2.0061899408706312</c:v>
                </c:pt>
                <c:pt idx="161">
                  <c:v>2.0136656241438864</c:v>
                </c:pt>
                <c:pt idx="162">
                  <c:v>2.0409560859183986</c:v>
                </c:pt>
                <c:pt idx="163">
                  <c:v>2.0569902832214244</c:v>
                </c:pt>
                <c:pt idx="164">
                  <c:v>1.9999593392798327</c:v>
                </c:pt>
                <c:pt idx="165">
                  <c:v>2.0448194013693395</c:v>
                </c:pt>
                <c:pt idx="166">
                  <c:v>2.0239232469363597</c:v>
                </c:pt>
                <c:pt idx="167">
                  <c:v>2.0538551438323043</c:v>
                </c:pt>
                <c:pt idx="168">
                  <c:v>1.9785015818001672</c:v>
                </c:pt>
                <c:pt idx="169">
                  <c:v>1.9456274083091973</c:v>
                </c:pt>
                <c:pt idx="170">
                  <c:v>1.9348561695848077</c:v>
                </c:pt>
                <c:pt idx="171">
                  <c:v>1.8041321812393416</c:v>
                </c:pt>
                <c:pt idx="172">
                  <c:v>1.803126884220656</c:v>
                </c:pt>
                <c:pt idx="173">
                  <c:v>1.7030428186963933</c:v>
                </c:pt>
                <c:pt idx="174">
                  <c:v>1.786514330300887</c:v>
                </c:pt>
                <c:pt idx="175">
                  <c:v>1.7139684465508052</c:v>
                </c:pt>
                <c:pt idx="176">
                  <c:v>1.5919699717292266</c:v>
                </c:pt>
                <c:pt idx="177">
                  <c:v>1.6334737690267458</c:v>
                </c:pt>
                <c:pt idx="178">
                  <c:v>1.727653750388352</c:v>
                </c:pt>
                <c:pt idx="179">
                  <c:v>1.6976904312420737</c:v>
                </c:pt>
                <c:pt idx="180">
                  <c:v>1.7806850675501631</c:v>
                </c:pt>
                <c:pt idx="181">
                  <c:v>1.7270520725834864</c:v>
                </c:pt>
                <c:pt idx="182">
                  <c:v>1.7817416952669662</c:v>
                </c:pt>
                <c:pt idx="183">
                  <c:v>1.7957900493686836</c:v>
                </c:pt>
                <c:pt idx="184">
                  <c:v>1.7683468768763024</c:v>
                </c:pt>
                <c:pt idx="185">
                  <c:v>1.8129963951135717</c:v>
                </c:pt>
                <c:pt idx="186">
                  <c:v>1.8459882671759424</c:v>
                </c:pt>
                <c:pt idx="187">
                  <c:v>1.8107276473734955</c:v>
                </c:pt>
                <c:pt idx="188">
                  <c:v>1.7464135253195501</c:v>
                </c:pt>
                <c:pt idx="189">
                  <c:v>1.7128591552243406</c:v>
                </c:pt>
                <c:pt idx="190">
                  <c:v>1.8296709166895033</c:v>
                </c:pt>
                <c:pt idx="191">
                  <c:v>1.9117612495568492</c:v>
                </c:pt>
                <c:pt idx="192">
                  <c:v>1.9022894277050619</c:v>
                </c:pt>
                <c:pt idx="193">
                  <c:v>1.9292591983416463</c:v>
                </c:pt>
                <c:pt idx="194">
                  <c:v>1.9589560138451103</c:v>
                </c:pt>
                <c:pt idx="195">
                  <c:v>1.8993205469627419</c:v>
                </c:pt>
                <c:pt idx="196">
                  <c:v>1.9473954740555017</c:v>
                </c:pt>
                <c:pt idx="197">
                  <c:v>1.9738921216788758</c:v>
                </c:pt>
                <c:pt idx="198">
                  <c:v>2.0158591130027483</c:v>
                </c:pt>
                <c:pt idx="199">
                  <c:v>2.0601348275645037</c:v>
                </c:pt>
                <c:pt idx="200">
                  <c:v>2.0998467859253056</c:v>
                </c:pt>
                <c:pt idx="201">
                  <c:v>2.0459895659688945</c:v>
                </c:pt>
                <c:pt idx="202">
                  <c:v>2.0931750051305236</c:v>
                </c:pt>
                <c:pt idx="203">
                  <c:v>2.0466073588968743</c:v>
                </c:pt>
                <c:pt idx="204">
                  <c:v>2.0813167362868712</c:v>
                </c:pt>
                <c:pt idx="205">
                  <c:v>2.0818833558769447</c:v>
                </c:pt>
                <c:pt idx="206">
                  <c:v>2.0385887346620817</c:v>
                </c:pt>
                <c:pt idx="207">
                  <c:v>2.0713754131649775</c:v>
                </c:pt>
                <c:pt idx="208">
                  <c:v>2.1240726027352936</c:v>
                </c:pt>
                <c:pt idx="209">
                  <c:v>2.1918353748638313</c:v>
                </c:pt>
                <c:pt idx="210">
                  <c:v>2.1934110704995042</c:v>
                </c:pt>
                <c:pt idx="211">
                  <c:v>2.2331145629319584</c:v>
                </c:pt>
                <c:pt idx="212">
                  <c:v>2.2803940574982211</c:v>
                </c:pt>
                <c:pt idx="213">
                  <c:v>2.3027352187334933</c:v>
                </c:pt>
                <c:pt idx="214">
                  <c:v>2.3045858124102025</c:v>
                </c:pt>
                <c:pt idx="215">
                  <c:v>2.3105754030527765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1E-42ED-8156-317C11498B88}"/>
            </c:ext>
          </c:extLst>
        </c:ser>
        <c:ser>
          <c:idx val="1"/>
          <c:order val="1"/>
          <c:tx>
            <c:strRef>
              <c:f>Gross_Returns!$C$3</c:f>
              <c:strCache>
                <c:ptCount val="1"/>
                <c:pt idx="0">
                  <c:v>Benchmark wealth ($1 start)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Gross_Returns!$A$4:$A$219</c:f>
              <c:numCache>
                <c:formatCode>General</c:formatCode>
                <c:ptCount val="216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39813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40178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40326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40543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40907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41274</c:v>
                </c:pt>
                <c:pt idx="60">
                  <c:v>41305</c:v>
                </c:pt>
                <c:pt idx="61">
                  <c:v>41333</c:v>
                </c:pt>
                <c:pt idx="62">
                  <c:v>41361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41639</c:v>
                </c:pt>
                <c:pt idx="72">
                  <c:v>41670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42004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42369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42734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43098</c:v>
                </c:pt>
                <c:pt idx="120">
                  <c:v>43131</c:v>
                </c:pt>
                <c:pt idx="121">
                  <c:v>43159</c:v>
                </c:pt>
                <c:pt idx="122">
                  <c:v>43188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43465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43830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43951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44104</c:v>
                </c:pt>
                <c:pt idx="153">
                  <c:v>44134</c:v>
                </c:pt>
                <c:pt idx="154">
                  <c:v>44165</c:v>
                </c:pt>
                <c:pt idx="155">
                  <c:v>44196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44344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44561</c:v>
                </c:pt>
                <c:pt idx="168">
                  <c:v>44592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44925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45198</c:v>
                </c:pt>
                <c:pt idx="189">
                  <c:v>45230</c:v>
                </c:pt>
                <c:pt idx="190">
                  <c:v>45260</c:v>
                </c:pt>
                <c:pt idx="191">
                  <c:v>45289</c:v>
                </c:pt>
                <c:pt idx="192">
                  <c:v>45322</c:v>
                </c:pt>
                <c:pt idx="193">
                  <c:v>45351</c:v>
                </c:pt>
                <c:pt idx="194">
                  <c:v>45379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45657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46022</c:v>
                </c:pt>
              </c:numCache>
            </c:numRef>
          </c:cat>
          <c:val>
            <c:numRef>
              <c:f>Gross_Returns!$C$4:$C$219</c:f>
              <c:numCache>
                <c:formatCode>General</c:formatCode>
                <c:ptCount val="216"/>
                <c:pt idx="0">
                  <c:v>0.96628483662296016</c:v>
                </c:pt>
                <c:pt idx="1">
                  <c:v>0.9741451831943414</c:v>
                </c:pt>
                <c:pt idx="2">
                  <c:v>0.97473072370028924</c:v>
                </c:pt>
                <c:pt idx="3">
                  <c:v>0.9972008319850203</c:v>
                </c:pt>
                <c:pt idx="4">
                  <c:v>1.0029046502911096</c:v>
                </c:pt>
                <c:pt idx="5">
                  <c:v>0.95699684306258104</c:v>
                </c:pt>
                <c:pt idx="6">
                  <c:v>0.94448564347393782</c:v>
                </c:pt>
                <c:pt idx="7">
                  <c:v>0.92790283293975684</c:v>
                </c:pt>
                <c:pt idx="8">
                  <c:v>0.85075825844938036</c:v>
                </c:pt>
                <c:pt idx="9">
                  <c:v>0.73788058269076628</c:v>
                </c:pt>
                <c:pt idx="10">
                  <c:v>0.71754990309152678</c:v>
                </c:pt>
                <c:pt idx="11">
                  <c:v>0.75431509691626053</c:v>
                </c:pt>
                <c:pt idx="12">
                  <c:v>0.71618203030585481</c:v>
                </c:pt>
                <c:pt idx="13">
                  <c:v>0.67862925677948416</c:v>
                </c:pt>
                <c:pt idx="14">
                  <c:v>0.71069135857159105</c:v>
                </c:pt>
                <c:pt idx="15">
                  <c:v>0.75011420274876139</c:v>
                </c:pt>
                <c:pt idx="16">
                  <c:v>0.79603415878034633</c:v>
                </c:pt>
                <c:pt idx="17">
                  <c:v>0.79696306921909832</c:v>
                </c:pt>
                <c:pt idx="18">
                  <c:v>0.83541892100505144</c:v>
                </c:pt>
                <c:pt idx="19">
                  <c:v>0.85702101384700768</c:v>
                </c:pt>
                <c:pt idx="20">
                  <c:v>0.88436406997623229</c:v>
                </c:pt>
                <c:pt idx="21">
                  <c:v>0.88033385554278298</c:v>
                </c:pt>
                <c:pt idx="22">
                  <c:v>0.9076488010365501</c:v>
                </c:pt>
                <c:pt idx="23">
                  <c:v>0.89715410532638495</c:v>
                </c:pt>
                <c:pt idx="24">
                  <c:v>0.88336650261536664</c:v>
                </c:pt>
                <c:pt idx="25">
                  <c:v>0.8887527512540615</c:v>
                </c:pt>
                <c:pt idx="26">
                  <c:v>0.91094714590287995</c:v>
                </c:pt>
                <c:pt idx="27">
                  <c:v>0.91384977478523344</c:v>
                </c:pt>
                <c:pt idx="28">
                  <c:v>0.86860322722303596</c:v>
                </c:pt>
                <c:pt idx="29">
                  <c:v>0.86383851176992776</c:v>
                </c:pt>
                <c:pt idx="30">
                  <c:v>0.91080716470587186</c:v>
                </c:pt>
                <c:pt idx="31">
                  <c:v>0.90443277250875409</c:v>
                </c:pt>
                <c:pt idx="32">
                  <c:v>0.95483895113851924</c:v>
                </c:pt>
                <c:pt idx="33">
                  <c:v>0.97684302670206624</c:v>
                </c:pt>
                <c:pt idx="34">
                  <c:v>0.94760828320499102</c:v>
                </c:pt>
                <c:pt idx="35">
                  <c:v>0.98519888757353358</c:v>
                </c:pt>
                <c:pt idx="36">
                  <c:v>0.99266519295918454</c:v>
                </c:pt>
                <c:pt idx="37">
                  <c:v>1.0094537411332087</c:v>
                </c:pt>
                <c:pt idx="38">
                  <c:v>1.0130455175753823</c:v>
                </c:pt>
                <c:pt idx="39">
                  <c:v>1.0486253258005775</c:v>
                </c:pt>
                <c:pt idx="40">
                  <c:v>1.0387792898561963</c:v>
                </c:pt>
                <c:pt idx="41">
                  <c:v>1.0315762626247673</c:v>
                </c:pt>
                <c:pt idx="42">
                  <c:v>1.0357820571820835</c:v>
                </c:pt>
                <c:pt idx="43">
                  <c:v>1.0082150927064495</c:v>
                </c:pt>
                <c:pt idx="44">
                  <c:v>0.95251969177958484</c:v>
                </c:pt>
                <c:pt idx="45">
                  <c:v>1.0057366253785271</c:v>
                </c:pt>
                <c:pt idx="46">
                  <c:v>0.98295152954055687</c:v>
                </c:pt>
                <c:pt idx="47">
                  <c:v>0.9858035937130073</c:v>
                </c:pt>
                <c:pt idx="48">
                  <c:v>1.020453389461921</c:v>
                </c:pt>
                <c:pt idx="49">
                  <c:v>1.0414478091617676</c:v>
                </c:pt>
                <c:pt idx="50">
                  <c:v>1.0401545297005639</c:v>
                </c:pt>
                <c:pt idx="51">
                  <c:v>1.0427711527599701</c:v>
                </c:pt>
                <c:pt idx="52">
                  <c:v>0.99882027529325568</c:v>
                </c:pt>
                <c:pt idx="53">
                  <c:v>1.0212587330046179</c:v>
                </c:pt>
                <c:pt idx="54">
                  <c:v>1.033128640968535</c:v>
                </c:pt>
                <c:pt idx="55">
                  <c:v>1.0484146192909176</c:v>
                </c:pt>
                <c:pt idx="56">
                  <c:v>1.0698860045781489</c:v>
                </c:pt>
                <c:pt idx="57">
                  <c:v>1.0666208207996537</c:v>
                </c:pt>
                <c:pt idx="58">
                  <c:v>1.0730871996200568</c:v>
                </c:pt>
                <c:pt idx="59">
                  <c:v>1.0820337873124231</c:v>
                </c:pt>
                <c:pt idx="60">
                  <c:v>1.0987684433212264</c:v>
                </c:pt>
                <c:pt idx="61">
                  <c:v>1.0932045703640296</c:v>
                </c:pt>
                <c:pt idx="62">
                  <c:v>1.1011599771690397</c:v>
                </c:pt>
                <c:pt idx="63">
                  <c:v>1.1228023655698744</c:v>
                </c:pt>
                <c:pt idx="64">
                  <c:v>1.1028935757067619</c:v>
                </c:pt>
                <c:pt idx="65">
                  <c:v>1.0804167337178197</c:v>
                </c:pt>
                <c:pt idx="66">
                  <c:v>1.1103330811004462</c:v>
                </c:pt>
                <c:pt idx="67">
                  <c:v>1.0974354620975721</c:v>
                </c:pt>
                <c:pt idx="68">
                  <c:v>1.1359179298667295</c:v>
                </c:pt>
                <c:pt idx="69">
                  <c:v>1.1612310174484135</c:v>
                </c:pt>
                <c:pt idx="70">
                  <c:v>1.1628797371980089</c:v>
                </c:pt>
                <c:pt idx="71">
                  <c:v>1.1674499805962295</c:v>
                </c:pt>
                <c:pt idx="72">
                  <c:v>1.1537589153124255</c:v>
                </c:pt>
                <c:pt idx="73">
                  <c:v>1.1891741409546417</c:v>
                </c:pt>
                <c:pt idx="74">
                  <c:v>1.1912215466582619</c:v>
                </c:pt>
                <c:pt idx="75">
                  <c:v>1.2020988989203876</c:v>
                </c:pt>
                <c:pt idx="76">
                  <c:v>1.2175048398722099</c:v>
                </c:pt>
                <c:pt idx="77">
                  <c:v>1.2343609386220753</c:v>
                </c:pt>
                <c:pt idx="78">
                  <c:v>1.2195532780857932</c:v>
                </c:pt>
                <c:pt idx="79">
                  <c:v>1.2369457198574776</c:v>
                </c:pt>
                <c:pt idx="80">
                  <c:v>1.1986102220397983</c:v>
                </c:pt>
                <c:pt idx="81">
                  <c:v>1.2032576210372168</c:v>
                </c:pt>
                <c:pt idx="82">
                  <c:v>1.2096698005325872</c:v>
                </c:pt>
                <c:pt idx="83">
                  <c:v>1.1956066076915084</c:v>
                </c:pt>
                <c:pt idx="84">
                  <c:v>1.1858451353133868</c:v>
                </c:pt>
                <c:pt idx="85">
                  <c:v>1.2126346266945456</c:v>
                </c:pt>
                <c:pt idx="86">
                  <c:v>1.199119744995957</c:v>
                </c:pt>
                <c:pt idx="87">
                  <c:v>1.2215739067569009</c:v>
                </c:pt>
                <c:pt idx="88">
                  <c:v>1.2112455028862386</c:v>
                </c:pt>
                <c:pt idx="89">
                  <c:v>1.1962603343409512</c:v>
                </c:pt>
                <c:pt idx="90">
                  <c:v>1.2017009592386323</c:v>
                </c:pt>
                <c:pt idx="91">
                  <c:v>1.1641321541975382</c:v>
                </c:pt>
                <c:pt idx="92">
                  <c:v>1.1466342952180997</c:v>
                </c:pt>
                <c:pt idx="93">
                  <c:v>1.189705624130742</c:v>
                </c:pt>
                <c:pt idx="94">
                  <c:v>1.1759551201266021</c:v>
                </c:pt>
                <c:pt idx="95">
                  <c:v>1.1679584408121608</c:v>
                </c:pt>
                <c:pt idx="96">
                  <c:v>1.1389582202346138</c:v>
                </c:pt>
                <c:pt idx="97">
                  <c:v>1.1489685850992728</c:v>
                </c:pt>
                <c:pt idx="98">
                  <c:v>1.2066015607789997</c:v>
                </c:pt>
                <c:pt idx="99">
                  <c:v>1.2241809224271756</c:v>
                </c:pt>
                <c:pt idx="100">
                  <c:v>1.2178437993286781</c:v>
                </c:pt>
                <c:pt idx="101">
                  <c:v>1.2316994746562671</c:v>
                </c:pt>
                <c:pt idx="102">
                  <c:v>1.2627574360210998</c:v>
                </c:pt>
                <c:pt idx="103">
                  <c:v>1.263090163224452</c:v>
                </c:pt>
                <c:pt idx="104">
                  <c:v>1.2708820004066381</c:v>
                </c:pt>
                <c:pt idx="105">
                  <c:v>1.2413462322151938</c:v>
                </c:pt>
                <c:pt idx="106">
                  <c:v>1.223163180906838</c:v>
                </c:pt>
                <c:pt idx="107">
                  <c:v>1.2339647336310082</c:v>
                </c:pt>
                <c:pt idx="108">
                  <c:v>1.256934521264305</c:v>
                </c:pt>
                <c:pt idx="109">
                  <c:v>1.2764717632887133</c:v>
                </c:pt>
                <c:pt idx="110">
                  <c:v>1.2843445314816777</c:v>
                </c:pt>
                <c:pt idx="111">
                  <c:v>1.3023325362492157</c:v>
                </c:pt>
                <c:pt idx="112">
                  <c:v>1.3245914622603039</c:v>
                </c:pt>
                <c:pt idx="113">
                  <c:v>1.3276898191611506</c:v>
                </c:pt>
                <c:pt idx="114">
                  <c:v>1.3559124072643403</c:v>
                </c:pt>
                <c:pt idx="115">
                  <c:v>1.3653379064982549</c:v>
                </c:pt>
                <c:pt idx="116">
                  <c:v>1.3736274810170306</c:v>
                </c:pt>
                <c:pt idx="117">
                  <c:v>1.3840461642366586</c:v>
                </c:pt>
                <c:pt idx="118">
                  <c:v>1.4051597724714588</c:v>
                </c:pt>
                <c:pt idx="119">
                  <c:v>1.4188100624493281</c:v>
                </c:pt>
                <c:pt idx="120">
                  <c:v>1.464873838785379</c:v>
                </c:pt>
                <c:pt idx="121">
                  <c:v>1.4280553163735179</c:v>
                </c:pt>
                <c:pt idx="122">
                  <c:v>1.4230473982537704</c:v>
                </c:pt>
                <c:pt idx="123">
                  <c:v>1.4184976010551928</c:v>
                </c:pt>
                <c:pt idx="124">
                  <c:v>1.4156715469845147</c:v>
                </c:pt>
                <c:pt idx="125">
                  <c:v>1.4081432723868754</c:v>
                </c:pt>
                <c:pt idx="126">
                  <c:v>1.4264719429122237</c:v>
                </c:pt>
                <c:pt idx="127">
                  <c:v>1.4328443226498628</c:v>
                </c:pt>
                <c:pt idx="128">
                  <c:v>1.4285868781701341</c:v>
                </c:pt>
                <c:pt idx="129">
                  <c:v>1.3651312845334975</c:v>
                </c:pt>
                <c:pt idx="130">
                  <c:v>1.3763834248785016</c:v>
                </c:pt>
                <c:pt idx="131">
                  <c:v>1.3415928371100367</c:v>
                </c:pt>
                <c:pt idx="132">
                  <c:v>1.4035329217527199</c:v>
                </c:pt>
                <c:pt idx="133">
                  <c:v>1.4178345160077317</c:v>
                </c:pt>
                <c:pt idx="134">
                  <c:v>1.4341512748830034</c:v>
                </c:pt>
                <c:pt idx="135">
                  <c:v>1.4539787452102364</c:v>
                </c:pt>
                <c:pt idx="136">
                  <c:v>1.4240373429477713</c:v>
                </c:pt>
                <c:pt idx="137">
                  <c:v>1.483062807997737</c:v>
                </c:pt>
                <c:pt idx="138">
                  <c:v>1.482977943661641</c:v>
                </c:pt>
                <c:pt idx="139">
                  <c:v>1.4807013454848994</c:v>
                </c:pt>
                <c:pt idx="140">
                  <c:v>1.4879521742364052</c:v>
                </c:pt>
                <c:pt idx="141">
                  <c:v>1.5121856323895393</c:v>
                </c:pt>
                <c:pt idx="142">
                  <c:v>1.5233965681403183</c:v>
                </c:pt>
                <c:pt idx="143">
                  <c:v>1.5538664813896319</c:v>
                </c:pt>
                <c:pt idx="144">
                  <c:v>1.554305103628377</c:v>
                </c:pt>
                <c:pt idx="145">
                  <c:v>1.4972224467885231</c:v>
                </c:pt>
                <c:pt idx="146">
                  <c:v>1.3712240945373149</c:v>
                </c:pt>
                <c:pt idx="147">
                  <c:v>1.4575843577758412</c:v>
                </c:pt>
                <c:pt idx="148">
                  <c:v>1.4941838204333018</c:v>
                </c:pt>
                <c:pt idx="149">
                  <c:v>1.5235320451499264</c:v>
                </c:pt>
                <c:pt idx="150">
                  <c:v>1.5872370341507447</c:v>
                </c:pt>
                <c:pt idx="151">
                  <c:v>1.6327986619076724</c:v>
                </c:pt>
                <c:pt idx="152">
                  <c:v>1.6050750348563323</c:v>
                </c:pt>
                <c:pt idx="153">
                  <c:v>1.5884470824002559</c:v>
                </c:pt>
                <c:pt idx="154">
                  <c:v>1.7039194250183383</c:v>
                </c:pt>
                <c:pt idx="155">
                  <c:v>1.7571194122381548</c:v>
                </c:pt>
                <c:pt idx="156">
                  <c:v>1.7479185590254611</c:v>
                </c:pt>
                <c:pt idx="157">
                  <c:v>1.7554661084983838</c:v>
                </c:pt>
                <c:pt idx="158">
                  <c:v>1.7610297410914111</c:v>
                </c:pt>
                <c:pt idx="159">
                  <c:v>1.8097938026374125</c:v>
                </c:pt>
                <c:pt idx="160">
                  <c:v>1.8308119087001689</c:v>
                </c:pt>
                <c:pt idx="161">
                  <c:v>1.8346962785065253</c:v>
                </c:pt>
                <c:pt idx="162">
                  <c:v>1.8516985875665952</c:v>
                </c:pt>
                <c:pt idx="163">
                  <c:v>1.8696911410189683</c:v>
                </c:pt>
                <c:pt idx="164">
                  <c:v>1.8169346944917868</c:v>
                </c:pt>
                <c:pt idx="165">
                  <c:v>1.8573930858799264</c:v>
                </c:pt>
                <c:pt idx="166">
                  <c:v>1.8286675605123235</c:v>
                </c:pt>
                <c:pt idx="167">
                  <c:v>1.8636063798862039</c:v>
                </c:pt>
                <c:pt idx="168">
                  <c:v>1.794936420570777</c:v>
                </c:pt>
                <c:pt idx="169">
                  <c:v>1.7642214174742583</c:v>
                </c:pt>
                <c:pt idx="170">
                  <c:v>1.7585908888633894</c:v>
                </c:pt>
                <c:pt idx="171">
                  <c:v>1.6389091243155447</c:v>
                </c:pt>
                <c:pt idx="172">
                  <c:v>1.639611971215966</c:v>
                </c:pt>
                <c:pt idx="173">
                  <c:v>1.5389560186908771</c:v>
                </c:pt>
                <c:pt idx="174">
                  <c:v>1.6142381129581429</c:v>
                </c:pt>
                <c:pt idx="175">
                  <c:v>1.5535086798896791</c:v>
                </c:pt>
                <c:pt idx="176">
                  <c:v>1.4360506232217543</c:v>
                </c:pt>
                <c:pt idx="177">
                  <c:v>1.4785058112609035</c:v>
                </c:pt>
                <c:pt idx="178">
                  <c:v>1.5718633432849336</c:v>
                </c:pt>
                <c:pt idx="179">
                  <c:v>1.5441392466113002</c:v>
                </c:pt>
                <c:pt idx="180">
                  <c:v>1.6264240437038564</c:v>
                </c:pt>
                <c:pt idx="181">
                  <c:v>1.5770654998666849</c:v>
                </c:pt>
                <c:pt idx="182">
                  <c:v>1.62100878691283</c:v>
                </c:pt>
                <c:pt idx="183">
                  <c:v>1.6348413981895282</c:v>
                </c:pt>
                <c:pt idx="184">
                  <c:v>1.6075525124222241</c:v>
                </c:pt>
                <c:pt idx="185">
                  <c:v>1.6557410312583072</c:v>
                </c:pt>
                <c:pt idx="186">
                  <c:v>1.6938429250951017</c:v>
                </c:pt>
                <c:pt idx="187">
                  <c:v>1.6572817903865904</c:v>
                </c:pt>
                <c:pt idx="188">
                  <c:v>1.5987706345038333</c:v>
                </c:pt>
                <c:pt idx="189">
                  <c:v>1.5621654922756447</c:v>
                </c:pt>
                <c:pt idx="190">
                  <c:v>1.6735321433199006</c:v>
                </c:pt>
                <c:pt idx="191">
                  <c:v>1.7529884509261642</c:v>
                </c:pt>
                <c:pt idx="192">
                  <c:v>1.7436226642435508</c:v>
                </c:pt>
                <c:pt idx="193">
                  <c:v>1.7721333409978712</c:v>
                </c:pt>
                <c:pt idx="194">
                  <c:v>1.8067207411841517</c:v>
                </c:pt>
                <c:pt idx="195">
                  <c:v>1.7535414252123824</c:v>
                </c:pt>
                <c:pt idx="196">
                  <c:v>1.8012284157603495</c:v>
                </c:pt>
                <c:pt idx="197">
                  <c:v>1.8188218226756911</c:v>
                </c:pt>
                <c:pt idx="198">
                  <c:v>1.8629989240358049</c:v>
                </c:pt>
                <c:pt idx="199">
                  <c:v>1.9068259699314658</c:v>
                </c:pt>
                <c:pt idx="200">
                  <c:v>1.9455536690328923</c:v>
                </c:pt>
                <c:pt idx="201">
                  <c:v>1.8909053725517948</c:v>
                </c:pt>
                <c:pt idx="202">
                  <c:v>1.9314452535792521</c:v>
                </c:pt>
                <c:pt idx="203">
                  <c:v>1.8853050659592387</c:v>
                </c:pt>
                <c:pt idx="204">
                  <c:v>1.9248746884333301</c:v>
                </c:pt>
                <c:pt idx="205">
                  <c:v>1.9273361059818301</c:v>
                </c:pt>
                <c:pt idx="206">
                  <c:v>1.890994903810401</c:v>
                </c:pt>
                <c:pt idx="207">
                  <c:v>1.9254350898546271</c:v>
                </c:pt>
                <c:pt idx="208">
                  <c:v>1.9845561572583235</c:v>
                </c:pt>
                <c:pt idx="209">
                  <c:v>2.0512671605969062</c:v>
                </c:pt>
                <c:pt idx="210">
                  <c:v>2.0540737972515695</c:v>
                </c:pt>
                <c:pt idx="211">
                  <c:v>2.0982492837320099</c:v>
                </c:pt>
                <c:pt idx="212">
                  <c:v>2.145082611887756</c:v>
                </c:pt>
                <c:pt idx="213">
                  <c:v>2.167070279700519</c:v>
                </c:pt>
                <c:pt idx="214">
                  <c:v>2.1720035586754269</c:v>
                </c:pt>
                <c:pt idx="215">
                  <c:v>2.1861215460762571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1E-42ED-8156-317C11498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Wealth (from $1)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4" x14ac:dyDescent="0.25"/>
  <sheetData>
    <row r="1" spans="1:2" ht="17.399999999999999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</row>
    <row r="7" spans="1:2" x14ac:dyDescent="0.25">
      <c r="A7" t="s">
        <v>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7"/>
  <sheetViews>
    <sheetView topLeftCell="A192" workbookViewId="0">
      <selection activeCell="B2" sqref="B2"/>
    </sheetView>
  </sheetViews>
  <sheetFormatPr defaultRowHeight="14.4" x14ac:dyDescent="0.25"/>
  <cols>
    <col min="1" max="1" width="20.44140625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s="2">
        <v>39478</v>
      </c>
      <c r="B2">
        <v>-2.3674922490799659E-2</v>
      </c>
      <c r="C2">
        <v>-3.3715163377039808E-2</v>
      </c>
      <c r="D2">
        <f t="shared" ref="D2:D65" si="0">B2-C2</f>
        <v>1.004024088624015E-2</v>
      </c>
      <c r="E2">
        <f>1*(1+B2)</f>
        <v>0.97632507750920039</v>
      </c>
      <c r="F2">
        <f>1*(1+C2)</f>
        <v>0.96628483662296016</v>
      </c>
    </row>
    <row r="3" spans="1:6" x14ac:dyDescent="0.25">
      <c r="A3" s="2">
        <v>39507</v>
      </c>
      <c r="B3">
        <v>3.1097868134455299E-3</v>
      </c>
      <c r="C3">
        <v>8.1346061466225326E-3</v>
      </c>
      <c r="D3">
        <f t="shared" si="0"/>
        <v>-5.0248193331770032E-3</v>
      </c>
      <c r="E3">
        <f t="shared" ref="E3:E66" si="1">E2*(1+B3)</f>
        <v>0.97936124036087469</v>
      </c>
      <c r="F3">
        <f t="shared" ref="F3:F66" si="2">F2*(1+C3)</f>
        <v>0.9741451831943414</v>
      </c>
    </row>
    <row r="4" spans="1:6" x14ac:dyDescent="0.25">
      <c r="A4" s="2">
        <v>39538</v>
      </c>
      <c r="B4">
        <v>3.6975165081176661E-3</v>
      </c>
      <c r="C4">
        <v>6.0108135424722037E-4</v>
      </c>
      <c r="D4">
        <f t="shared" si="0"/>
        <v>3.0964351538704457E-3</v>
      </c>
      <c r="E4">
        <f t="shared" si="1"/>
        <v>0.98298244471451957</v>
      </c>
      <c r="F4">
        <f t="shared" si="2"/>
        <v>0.97473072370028924</v>
      </c>
    </row>
    <row r="5" spans="1:6" x14ac:dyDescent="0.25">
      <c r="A5" s="2">
        <v>39568</v>
      </c>
      <c r="B5">
        <v>1.6677048132176089E-2</v>
      </c>
      <c r="C5">
        <v>2.3052631602120351E-2</v>
      </c>
      <c r="D5">
        <f t="shared" si="0"/>
        <v>-6.3755834699442612E-3</v>
      </c>
      <c r="E5">
        <f t="shared" si="1"/>
        <v>0.99937569025810769</v>
      </c>
      <c r="F5">
        <f t="shared" si="2"/>
        <v>0.9972008319850203</v>
      </c>
    </row>
    <row r="6" spans="1:6" x14ac:dyDescent="0.25">
      <c r="A6" s="2">
        <v>39598</v>
      </c>
      <c r="B6">
        <v>4.3575339019086027E-3</v>
      </c>
      <c r="C6">
        <v>5.719829068669433E-3</v>
      </c>
      <c r="D6">
        <f t="shared" si="0"/>
        <v>-1.3622951667608303E-3</v>
      </c>
      <c r="E6">
        <f t="shared" si="1"/>
        <v>1.0037305037091506</v>
      </c>
      <c r="F6">
        <f t="shared" si="2"/>
        <v>1.0029046502911096</v>
      </c>
    </row>
    <row r="7" spans="1:6" x14ac:dyDescent="0.25">
      <c r="A7" s="2">
        <v>39629</v>
      </c>
      <c r="B7">
        <v>-3.7433683722704621E-2</v>
      </c>
      <c r="C7">
        <v>-4.577484730497873E-2</v>
      </c>
      <c r="D7">
        <f t="shared" si="0"/>
        <v>8.3411635822741095E-3</v>
      </c>
      <c r="E7">
        <f t="shared" si="1"/>
        <v>0.96615717349047125</v>
      </c>
      <c r="F7">
        <f t="shared" si="2"/>
        <v>0.95699684306258104</v>
      </c>
    </row>
    <row r="8" spans="1:6" x14ac:dyDescent="0.25">
      <c r="A8" s="2">
        <v>39660</v>
      </c>
      <c r="B8">
        <v>-8.3951447132796005E-3</v>
      </c>
      <c r="C8">
        <v>-1.3073396928463141E-2</v>
      </c>
      <c r="D8">
        <f t="shared" si="0"/>
        <v>4.6782522151835402E-3</v>
      </c>
      <c r="E8">
        <f t="shared" si="1"/>
        <v>0.95804614420324552</v>
      </c>
      <c r="F8">
        <f t="shared" si="2"/>
        <v>0.94448564347393782</v>
      </c>
    </row>
    <row r="9" spans="1:6" x14ac:dyDescent="0.25">
      <c r="A9" s="2">
        <v>39689</v>
      </c>
      <c r="B9">
        <v>-1.1399855295761711E-2</v>
      </c>
      <c r="C9">
        <v>-1.7557504075114728E-2</v>
      </c>
      <c r="D9">
        <f t="shared" si="0"/>
        <v>6.1576487793530178E-3</v>
      </c>
      <c r="E9">
        <f t="shared" si="1"/>
        <v>0.94712455679266605</v>
      </c>
      <c r="F9">
        <f t="shared" si="2"/>
        <v>0.92790283293975684</v>
      </c>
    </row>
    <row r="10" spans="1:6" x14ac:dyDescent="0.25">
      <c r="A10" s="2">
        <v>39721</v>
      </c>
      <c r="B10">
        <v>-7.17375481044768E-2</v>
      </c>
      <c r="C10">
        <v>-8.3138634511944712E-2</v>
      </c>
      <c r="D10">
        <f t="shared" si="0"/>
        <v>1.1401086407467911E-2</v>
      </c>
      <c r="E10">
        <f t="shared" si="1"/>
        <v>0.87918016333882087</v>
      </c>
      <c r="F10">
        <f t="shared" si="2"/>
        <v>0.85075825844938036</v>
      </c>
    </row>
    <row r="11" spans="1:6" x14ac:dyDescent="0.25">
      <c r="A11" s="2">
        <v>39752</v>
      </c>
      <c r="B11">
        <v>-0.1123131592228522</v>
      </c>
      <c r="C11">
        <v>-0.1326789068898945</v>
      </c>
      <c r="D11">
        <f t="shared" si="0"/>
        <v>2.03657476670423E-2</v>
      </c>
      <c r="E11">
        <f t="shared" si="1"/>
        <v>0.7804366616681746</v>
      </c>
      <c r="F11">
        <f t="shared" si="2"/>
        <v>0.73788058269076628</v>
      </c>
    </row>
    <row r="12" spans="1:6" x14ac:dyDescent="0.25">
      <c r="A12" s="2">
        <v>39780</v>
      </c>
      <c r="B12">
        <v>-2.037408488618709E-2</v>
      </c>
      <c r="C12">
        <v>-2.755280471685715E-2</v>
      </c>
      <c r="D12">
        <f t="shared" si="0"/>
        <v>7.1787198306700606E-3</v>
      </c>
      <c r="E12">
        <f t="shared" si="1"/>
        <v>0.76453597887505476</v>
      </c>
      <c r="F12">
        <f t="shared" si="2"/>
        <v>0.71754990309152678</v>
      </c>
    </row>
    <row r="13" spans="1:6" x14ac:dyDescent="0.25">
      <c r="A13" s="2">
        <v>39813</v>
      </c>
      <c r="B13">
        <v>4.9005066240074988E-2</v>
      </c>
      <c r="C13">
        <v>5.1237124646429169E-2</v>
      </c>
      <c r="D13">
        <f t="shared" si="0"/>
        <v>-2.2320584063541815E-3</v>
      </c>
      <c r="E13">
        <f t="shared" si="1"/>
        <v>0.80200211516274733</v>
      </c>
      <c r="F13">
        <f t="shared" si="2"/>
        <v>0.75431509691626053</v>
      </c>
    </row>
    <row r="14" spans="1:6" x14ac:dyDescent="0.25">
      <c r="A14" s="2">
        <v>39843</v>
      </c>
      <c r="B14">
        <v>-4.224313515934118E-2</v>
      </c>
      <c r="C14">
        <v>-5.0553232682600029E-2</v>
      </c>
      <c r="D14">
        <f t="shared" si="0"/>
        <v>8.3100975232588484E-3</v>
      </c>
      <c r="E14">
        <f t="shared" si="1"/>
        <v>0.76812303141384985</v>
      </c>
      <c r="F14">
        <f t="shared" si="2"/>
        <v>0.71618203030585481</v>
      </c>
    </row>
    <row r="15" spans="1:6" x14ac:dyDescent="0.25">
      <c r="A15" s="2">
        <v>39871</v>
      </c>
      <c r="B15">
        <v>-4.5007899268836228E-2</v>
      </c>
      <c r="C15">
        <v>-5.2434677131361782E-2</v>
      </c>
      <c r="D15">
        <f t="shared" si="0"/>
        <v>7.4267778625255534E-3</v>
      </c>
      <c r="E15">
        <f t="shared" si="1"/>
        <v>0.7335514273899022</v>
      </c>
      <c r="F15">
        <f t="shared" si="2"/>
        <v>0.67862925677948416</v>
      </c>
    </row>
    <row r="16" spans="1:6" x14ac:dyDescent="0.25">
      <c r="A16" s="2">
        <v>39903</v>
      </c>
      <c r="B16">
        <v>4.0770598741837367E-2</v>
      </c>
      <c r="C16">
        <v>4.7245386891012292E-2</v>
      </c>
      <c r="D16">
        <f t="shared" si="0"/>
        <v>-6.4747881491749246E-3</v>
      </c>
      <c r="E16">
        <f t="shared" si="1"/>
        <v>0.76345875829251797</v>
      </c>
      <c r="F16">
        <f t="shared" si="2"/>
        <v>0.71069135857159105</v>
      </c>
    </row>
    <row r="17" spans="1:6" x14ac:dyDescent="0.25">
      <c r="A17" s="2">
        <v>39933</v>
      </c>
      <c r="B17">
        <v>4.2721983956924961E-2</v>
      </c>
      <c r="C17">
        <v>5.5471117949718547E-2</v>
      </c>
      <c r="D17">
        <f t="shared" si="0"/>
        <v>-1.2749133992793586E-2</v>
      </c>
      <c r="E17">
        <f t="shared" si="1"/>
        <v>0.79607523111606482</v>
      </c>
      <c r="F17">
        <f t="shared" si="2"/>
        <v>0.75011420274876139</v>
      </c>
    </row>
    <row r="18" spans="1:6" x14ac:dyDescent="0.25">
      <c r="A18" s="2">
        <v>39962</v>
      </c>
      <c r="B18">
        <v>4.4303288198288902E-2</v>
      </c>
      <c r="C18">
        <v>6.1217286465598493E-2</v>
      </c>
      <c r="D18">
        <f t="shared" si="0"/>
        <v>-1.6913998267309591E-2</v>
      </c>
      <c r="E18">
        <f t="shared" si="1"/>
        <v>0.83134398150771938</v>
      </c>
      <c r="F18">
        <f t="shared" si="2"/>
        <v>0.79603415878034633</v>
      </c>
    </row>
    <row r="19" spans="1:6" x14ac:dyDescent="0.25">
      <c r="A19" s="2">
        <v>39994</v>
      </c>
      <c r="B19">
        <v>2.2166532971455181E-3</v>
      </c>
      <c r="C19">
        <v>1.166922836797933E-3</v>
      </c>
      <c r="D19">
        <f t="shared" si="0"/>
        <v>1.0497304603475852E-3</v>
      </c>
      <c r="E19">
        <f t="shared" si="1"/>
        <v>0.8331867828853905</v>
      </c>
      <c r="F19">
        <f t="shared" si="2"/>
        <v>0.79696306921909832</v>
      </c>
    </row>
    <row r="20" spans="1:6" x14ac:dyDescent="0.25">
      <c r="A20" s="2">
        <v>40025</v>
      </c>
      <c r="B20">
        <v>4.0444883370601002E-2</v>
      </c>
      <c r="C20">
        <v>4.8252990974392278E-2</v>
      </c>
      <c r="D20">
        <f t="shared" si="0"/>
        <v>-7.8081076037912756E-3</v>
      </c>
      <c r="E20">
        <f t="shared" si="1"/>
        <v>0.86688492514511639</v>
      </c>
      <c r="F20">
        <f t="shared" si="2"/>
        <v>0.83541892100505144</v>
      </c>
    </row>
    <row r="21" spans="1:6" x14ac:dyDescent="0.25">
      <c r="A21" s="2">
        <v>40056</v>
      </c>
      <c r="B21">
        <v>2.3204841836401511E-2</v>
      </c>
      <c r="C21">
        <v>2.5857796967260281E-2</v>
      </c>
      <c r="D21">
        <f t="shared" si="0"/>
        <v>-2.6529551308587702E-3</v>
      </c>
      <c r="E21">
        <f t="shared" si="1"/>
        <v>0.88700085272346951</v>
      </c>
      <c r="F21">
        <f t="shared" si="2"/>
        <v>0.85702101384700768</v>
      </c>
    </row>
    <row r="22" spans="1:6" x14ac:dyDescent="0.25">
      <c r="A22" s="2">
        <v>40086</v>
      </c>
      <c r="B22">
        <v>2.8653810866326779E-2</v>
      </c>
      <c r="C22">
        <v>3.1904767429781877E-2</v>
      </c>
      <c r="D22">
        <f t="shared" si="0"/>
        <v>-3.2509565634550978E-3</v>
      </c>
      <c r="E22">
        <f t="shared" si="1"/>
        <v>0.91241680739567843</v>
      </c>
      <c r="F22">
        <f t="shared" si="2"/>
        <v>0.88436406997623229</v>
      </c>
    </row>
    <row r="23" spans="1:6" x14ac:dyDescent="0.25">
      <c r="A23" s="2">
        <v>40116</v>
      </c>
      <c r="B23">
        <v>-5.7362066965767414E-3</v>
      </c>
      <c r="C23">
        <v>-4.5571892507546537E-3</v>
      </c>
      <c r="D23">
        <f t="shared" si="0"/>
        <v>-1.1790174458220877E-3</v>
      </c>
      <c r="E23">
        <f t="shared" si="1"/>
        <v>0.90718299599502616</v>
      </c>
      <c r="F23">
        <f t="shared" si="2"/>
        <v>0.88033385554278298</v>
      </c>
    </row>
    <row r="24" spans="1:6" x14ac:dyDescent="0.25">
      <c r="A24" s="2">
        <v>40147</v>
      </c>
      <c r="B24">
        <v>3.1800126499855468E-2</v>
      </c>
      <c r="C24">
        <v>3.102793936844081E-2</v>
      </c>
      <c r="D24">
        <f t="shared" si="0"/>
        <v>7.721871314146575E-4</v>
      </c>
      <c r="E24">
        <f t="shared" si="1"/>
        <v>0.93603153002618589</v>
      </c>
      <c r="F24">
        <f t="shared" si="2"/>
        <v>0.9076488010365501</v>
      </c>
    </row>
    <row r="25" spans="1:6" x14ac:dyDescent="0.25">
      <c r="A25" s="2">
        <v>40178</v>
      </c>
      <c r="B25">
        <v>-1.292866216724005E-2</v>
      </c>
      <c r="C25">
        <v>-1.156250710426765E-2</v>
      </c>
      <c r="D25">
        <f t="shared" si="0"/>
        <v>-1.3661550629724007E-3</v>
      </c>
      <c r="E25">
        <f t="shared" si="1"/>
        <v>0.92392989459659247</v>
      </c>
      <c r="F25">
        <f t="shared" si="2"/>
        <v>0.89715410532638495</v>
      </c>
    </row>
    <row r="26" spans="1:6" x14ac:dyDescent="0.25">
      <c r="A26" s="2">
        <v>40207</v>
      </c>
      <c r="B26">
        <v>-1.142632369679566E-2</v>
      </c>
      <c r="C26">
        <v>-1.5368154288278431E-2</v>
      </c>
      <c r="D26">
        <f t="shared" si="0"/>
        <v>3.9418305914827711E-3</v>
      </c>
      <c r="E26">
        <f t="shared" si="1"/>
        <v>0.91337277254778548</v>
      </c>
      <c r="F26">
        <f t="shared" si="2"/>
        <v>0.88336650261536664</v>
      </c>
    </row>
    <row r="27" spans="1:6" x14ac:dyDescent="0.25">
      <c r="A27" s="2">
        <v>40235</v>
      </c>
      <c r="B27">
        <v>1.0668736417770389E-2</v>
      </c>
      <c r="C27">
        <v>6.0974110097541338E-3</v>
      </c>
      <c r="D27">
        <f t="shared" si="0"/>
        <v>4.5713254080162555E-3</v>
      </c>
      <c r="E27">
        <f t="shared" si="1"/>
        <v>0.92311730590926599</v>
      </c>
      <c r="F27">
        <f t="shared" si="2"/>
        <v>0.8887527512540615</v>
      </c>
    </row>
    <row r="28" spans="1:6" x14ac:dyDescent="0.25">
      <c r="A28" s="2">
        <v>40268</v>
      </c>
      <c r="B28">
        <v>1.9657242396912029E-2</v>
      </c>
      <c r="C28">
        <v>2.4972518641997371E-2</v>
      </c>
      <c r="D28">
        <f t="shared" si="0"/>
        <v>-5.3152762450853416E-3</v>
      </c>
      <c r="E28">
        <f t="shared" si="1"/>
        <v>0.94126324655230897</v>
      </c>
      <c r="F28">
        <f t="shared" si="2"/>
        <v>0.91094714590287995</v>
      </c>
    </row>
    <row r="29" spans="1:6" x14ac:dyDescent="0.25">
      <c r="A29" s="2">
        <v>40298</v>
      </c>
      <c r="B29">
        <v>6.5897379838772106E-3</v>
      </c>
      <c r="C29">
        <v>3.186385615684116E-3</v>
      </c>
      <c r="D29">
        <f t="shared" si="0"/>
        <v>3.4033523681930946E-3</v>
      </c>
      <c r="E29">
        <f t="shared" si="1"/>
        <v>0.94746592472094238</v>
      </c>
      <c r="F29">
        <f t="shared" si="2"/>
        <v>0.91384977478523344</v>
      </c>
    </row>
    <row r="30" spans="1:6" x14ac:dyDescent="0.25">
      <c r="A30" s="2">
        <v>40326</v>
      </c>
      <c r="B30">
        <v>-3.8715853978547113E-2</v>
      </c>
      <c r="C30">
        <v>-4.9512019164015222E-2</v>
      </c>
      <c r="D30">
        <f t="shared" si="0"/>
        <v>1.079616518546811E-2</v>
      </c>
      <c r="E30">
        <f t="shared" si="1"/>
        <v>0.91078397232979724</v>
      </c>
      <c r="F30">
        <f t="shared" si="2"/>
        <v>0.86860322722303596</v>
      </c>
    </row>
    <row r="31" spans="1:6" x14ac:dyDescent="0.25">
      <c r="A31" s="2">
        <v>40359</v>
      </c>
      <c r="B31">
        <v>-9.3107115709479219E-3</v>
      </c>
      <c r="C31">
        <v>-5.4854913080869686E-3</v>
      </c>
      <c r="D31">
        <f t="shared" si="0"/>
        <v>-3.8252202628609533E-3</v>
      </c>
      <c r="E31">
        <f t="shared" si="1"/>
        <v>0.90230392545999238</v>
      </c>
      <c r="F31">
        <f t="shared" si="2"/>
        <v>0.86383851176992776</v>
      </c>
    </row>
    <row r="32" spans="1:6" x14ac:dyDescent="0.25">
      <c r="A32" s="2">
        <v>40389</v>
      </c>
      <c r="B32">
        <v>4.7330483103782461E-2</v>
      </c>
      <c r="C32">
        <v>5.4372029373533581E-2</v>
      </c>
      <c r="D32">
        <f t="shared" si="0"/>
        <v>-7.04154626975112E-3</v>
      </c>
      <c r="E32">
        <f t="shared" si="1"/>
        <v>0.94501040615845311</v>
      </c>
      <c r="F32">
        <f t="shared" si="2"/>
        <v>0.91080716470587186</v>
      </c>
    </row>
    <row r="33" spans="1:6" x14ac:dyDescent="0.25">
      <c r="A33" s="2">
        <v>40421</v>
      </c>
      <c r="B33">
        <v>-6.5520055109753502E-3</v>
      </c>
      <c r="C33">
        <v>-6.9986188560299872E-3</v>
      </c>
      <c r="D33">
        <f t="shared" si="0"/>
        <v>4.4661334505463699E-4</v>
      </c>
      <c r="E33">
        <f t="shared" si="1"/>
        <v>0.93881869276937391</v>
      </c>
      <c r="F33">
        <f t="shared" si="2"/>
        <v>0.90443277250875409</v>
      </c>
    </row>
    <row r="34" spans="1:6" x14ac:dyDescent="0.25">
      <c r="A34" s="2">
        <v>40451</v>
      </c>
      <c r="B34">
        <v>4.8398491821743113E-2</v>
      </c>
      <c r="C34">
        <v>5.5732366364772891E-2</v>
      </c>
      <c r="D34">
        <f t="shared" si="0"/>
        <v>-7.333874543029778E-3</v>
      </c>
      <c r="E34">
        <f t="shared" si="1"/>
        <v>0.98425610159347199</v>
      </c>
      <c r="F34">
        <f t="shared" si="2"/>
        <v>0.95483895113851924</v>
      </c>
    </row>
    <row r="35" spans="1:6" x14ac:dyDescent="0.25">
      <c r="A35" s="2">
        <v>40480</v>
      </c>
      <c r="B35">
        <v>2.0831577429830259E-2</v>
      </c>
      <c r="C35">
        <v>2.3044803039622658E-2</v>
      </c>
      <c r="D35">
        <f t="shared" si="0"/>
        <v>-2.2132256097923998E-3</v>
      </c>
      <c r="E35">
        <f t="shared" si="1"/>
        <v>1.0047597087845992</v>
      </c>
      <c r="F35">
        <f t="shared" si="2"/>
        <v>0.97684302670206624</v>
      </c>
    </row>
    <row r="36" spans="1:6" x14ac:dyDescent="0.25">
      <c r="A36" s="2">
        <v>40512</v>
      </c>
      <c r="B36">
        <v>-2.348073912425085E-2</v>
      </c>
      <c r="C36">
        <v>-2.9927780306499219E-2</v>
      </c>
      <c r="D36">
        <f t="shared" si="0"/>
        <v>6.4470411822483698E-3</v>
      </c>
      <c r="E36">
        <f t="shared" si="1"/>
        <v>0.98116720818006975</v>
      </c>
      <c r="F36">
        <f t="shared" si="2"/>
        <v>0.94760828320499102</v>
      </c>
    </row>
    <row r="37" spans="1:6" x14ac:dyDescent="0.25">
      <c r="A37" s="2">
        <v>40543</v>
      </c>
      <c r="B37">
        <v>3.1790290507727248E-2</v>
      </c>
      <c r="C37">
        <v>3.966892758831099E-2</v>
      </c>
      <c r="D37">
        <f t="shared" si="0"/>
        <v>-7.8786370805837419E-3</v>
      </c>
      <c r="E37">
        <f t="shared" si="1"/>
        <v>1.0123587987647698</v>
      </c>
      <c r="F37">
        <f t="shared" si="2"/>
        <v>0.98519888757353358</v>
      </c>
    </row>
    <row r="38" spans="1:6" x14ac:dyDescent="0.25">
      <c r="A38" s="2">
        <v>40574</v>
      </c>
      <c r="B38">
        <v>7.8698573432014838E-3</v>
      </c>
      <c r="C38">
        <v>7.5784752498451579E-3</v>
      </c>
      <c r="D38">
        <f t="shared" si="0"/>
        <v>2.9138209335632589E-4</v>
      </c>
      <c r="E38">
        <f t="shared" si="1"/>
        <v>1.0203259180911832</v>
      </c>
      <c r="F38">
        <f t="shared" si="2"/>
        <v>0.99266519295918454</v>
      </c>
    </row>
    <row r="39" spans="1:6" x14ac:dyDescent="0.25">
      <c r="A39" s="2">
        <v>40602</v>
      </c>
      <c r="B39">
        <v>1.7714943521851E-2</v>
      </c>
      <c r="C39">
        <v>1.691259882294921E-2</v>
      </c>
      <c r="D39">
        <f t="shared" si="0"/>
        <v>8.0234469890179058E-4</v>
      </c>
      <c r="E39">
        <f t="shared" si="1"/>
        <v>1.0384009341040494</v>
      </c>
      <c r="F39">
        <f t="shared" si="2"/>
        <v>1.0094537411332087</v>
      </c>
    </row>
    <row r="40" spans="1:6" x14ac:dyDescent="0.25">
      <c r="A40" s="2">
        <v>40633</v>
      </c>
      <c r="B40">
        <v>3.363226782994797E-3</v>
      </c>
      <c r="C40">
        <v>3.5581387198003961E-3</v>
      </c>
      <c r="D40">
        <f t="shared" si="0"/>
        <v>-1.9491193680559911E-4</v>
      </c>
      <c r="E40">
        <f t="shared" si="1"/>
        <v>1.041893311937115</v>
      </c>
      <c r="F40">
        <f t="shared" si="2"/>
        <v>1.0130455175753823</v>
      </c>
    </row>
    <row r="41" spans="1:6" x14ac:dyDescent="0.25">
      <c r="A41" s="2">
        <v>40662</v>
      </c>
      <c r="B41">
        <v>3.0707669211847019E-2</v>
      </c>
      <c r="C41">
        <v>3.5121628404567451E-2</v>
      </c>
      <c r="D41">
        <f t="shared" si="0"/>
        <v>-4.4139591927204319E-3</v>
      </c>
      <c r="E41">
        <f t="shared" si="1"/>
        <v>1.0738874271141157</v>
      </c>
      <c r="F41">
        <f t="shared" si="2"/>
        <v>1.0486253258005775</v>
      </c>
    </row>
    <row r="42" spans="1:6" x14ac:dyDescent="0.25">
      <c r="A42" s="2">
        <v>40694</v>
      </c>
      <c r="B42">
        <v>-4.6958251886402959E-3</v>
      </c>
      <c r="C42">
        <v>-9.3894699108705102E-3</v>
      </c>
      <c r="D42">
        <f t="shared" si="0"/>
        <v>4.6936447222302143E-3</v>
      </c>
      <c r="E42">
        <f t="shared" si="1"/>
        <v>1.0688446394841091</v>
      </c>
      <c r="F42">
        <f t="shared" si="2"/>
        <v>1.0387792898561963</v>
      </c>
    </row>
    <row r="43" spans="1:6" x14ac:dyDescent="0.25">
      <c r="A43" s="2">
        <v>40724</v>
      </c>
      <c r="B43">
        <v>-6.1960613562406994E-3</v>
      </c>
      <c r="C43">
        <v>-6.9341267214001519E-3</v>
      </c>
      <c r="D43">
        <f t="shared" si="0"/>
        <v>7.3806536515945258E-4</v>
      </c>
      <c r="E43">
        <f t="shared" si="1"/>
        <v>1.0622220125175765</v>
      </c>
      <c r="F43">
        <f t="shared" si="2"/>
        <v>1.0315762626247673</v>
      </c>
    </row>
    <row r="44" spans="1:6" x14ac:dyDescent="0.25">
      <c r="A44" s="2">
        <v>40753</v>
      </c>
      <c r="B44">
        <v>3.963829462768298E-3</v>
      </c>
      <c r="C44">
        <v>4.0770563551111253E-3</v>
      </c>
      <c r="D44">
        <f t="shared" si="0"/>
        <v>-1.1322689234282736E-4</v>
      </c>
      <c r="E44">
        <f t="shared" si="1"/>
        <v>1.0664324794267948</v>
      </c>
      <c r="F44">
        <f t="shared" si="2"/>
        <v>1.0357820571820835</v>
      </c>
    </row>
    <row r="45" spans="1:6" x14ac:dyDescent="0.25">
      <c r="A45" s="2">
        <v>40786</v>
      </c>
      <c r="B45">
        <v>-1.6999943275922209E-2</v>
      </c>
      <c r="C45">
        <v>-2.6614637977637589E-2</v>
      </c>
      <c r="D45">
        <f t="shared" si="0"/>
        <v>9.6146947017153803E-3</v>
      </c>
      <c r="E45">
        <f t="shared" si="1"/>
        <v>1.0483031877689382</v>
      </c>
      <c r="F45">
        <f t="shared" si="2"/>
        <v>1.0082150927064495</v>
      </c>
    </row>
    <row r="46" spans="1:6" x14ac:dyDescent="0.25">
      <c r="A46" s="2">
        <v>40816</v>
      </c>
      <c r="B46">
        <v>-4.3445100593771373E-2</v>
      </c>
      <c r="C46">
        <v>-5.5241586175184147E-2</v>
      </c>
      <c r="D46">
        <f t="shared" si="0"/>
        <v>1.1796485581412774E-2</v>
      </c>
      <c r="E46">
        <f t="shared" si="1"/>
        <v>1.0027595503235454</v>
      </c>
      <c r="F46">
        <f t="shared" si="2"/>
        <v>0.95251969177958484</v>
      </c>
    </row>
    <row r="47" spans="1:6" x14ac:dyDescent="0.25">
      <c r="A47" s="2">
        <v>40847</v>
      </c>
      <c r="B47">
        <v>5.0387369987815712E-2</v>
      </c>
      <c r="C47">
        <v>5.5869641392418477E-2</v>
      </c>
      <c r="D47">
        <f t="shared" si="0"/>
        <v>-5.4822714046027649E-3</v>
      </c>
      <c r="E47">
        <f t="shared" si="1"/>
        <v>1.0532859667945136</v>
      </c>
      <c r="F47">
        <f t="shared" si="2"/>
        <v>1.0057366253785271</v>
      </c>
    </row>
    <row r="48" spans="1:6" x14ac:dyDescent="0.25">
      <c r="A48" s="2">
        <v>40877</v>
      </c>
      <c r="B48">
        <v>-1.328173007127576E-2</v>
      </c>
      <c r="C48">
        <v>-2.2655131833739042E-2</v>
      </c>
      <c r="D48">
        <f t="shared" si="0"/>
        <v>9.3734017624632817E-3</v>
      </c>
      <c r="E48">
        <f t="shared" si="1"/>
        <v>1.0392965068956861</v>
      </c>
      <c r="F48">
        <f t="shared" si="2"/>
        <v>0.98295152954055687</v>
      </c>
    </row>
    <row r="49" spans="1:6" x14ac:dyDescent="0.25">
      <c r="A49" s="2">
        <v>40907</v>
      </c>
      <c r="B49">
        <v>6.502908429173726E-3</v>
      </c>
      <c r="C49">
        <v>2.901530835181276E-3</v>
      </c>
      <c r="D49">
        <f t="shared" si="0"/>
        <v>3.6013775939924501E-3</v>
      </c>
      <c r="E49">
        <f t="shared" si="1"/>
        <v>1.0460549569107889</v>
      </c>
      <c r="F49">
        <f t="shared" si="2"/>
        <v>0.9858035937130073</v>
      </c>
    </row>
    <row r="50" spans="1:6" x14ac:dyDescent="0.25">
      <c r="A50" s="2">
        <v>40939</v>
      </c>
      <c r="B50">
        <v>2.9470227174603399E-2</v>
      </c>
      <c r="C50">
        <v>3.5148782140675759E-2</v>
      </c>
      <c r="D50">
        <f t="shared" si="0"/>
        <v>-5.6785549660723598E-3</v>
      </c>
      <c r="E50">
        <f t="shared" si="1"/>
        <v>1.0768824341280698</v>
      </c>
      <c r="F50">
        <f t="shared" si="2"/>
        <v>1.020453389461921</v>
      </c>
    </row>
    <row r="51" spans="1:6" x14ac:dyDescent="0.25">
      <c r="A51" s="2">
        <v>40968</v>
      </c>
      <c r="B51">
        <v>1.3534464571089319E-2</v>
      </c>
      <c r="C51">
        <v>2.0573619448622581E-2</v>
      </c>
      <c r="D51">
        <f t="shared" si="0"/>
        <v>-7.0391548775332619E-3</v>
      </c>
      <c r="E51">
        <f t="shared" si="1"/>
        <v>1.0914574612800045</v>
      </c>
      <c r="F51">
        <f t="shared" si="2"/>
        <v>1.0414478091617676</v>
      </c>
    </row>
    <row r="52" spans="1:6" x14ac:dyDescent="0.25">
      <c r="A52" s="2">
        <v>40998</v>
      </c>
      <c r="B52">
        <v>3.5451798193239892E-3</v>
      </c>
      <c r="C52">
        <v>-1.241809190846165E-3</v>
      </c>
      <c r="D52">
        <f t="shared" si="0"/>
        <v>4.786989010170154E-3</v>
      </c>
      <c r="E52">
        <f t="shared" si="1"/>
        <v>1.095326874245385</v>
      </c>
      <c r="F52">
        <f t="shared" si="2"/>
        <v>1.0401545297005639</v>
      </c>
    </row>
    <row r="53" spans="1:6" x14ac:dyDescent="0.25">
      <c r="A53" s="2">
        <v>41029</v>
      </c>
      <c r="B53">
        <v>4.6946270692259009E-3</v>
      </c>
      <c r="C53">
        <v>2.515609925920966E-3</v>
      </c>
      <c r="D53">
        <f t="shared" si="0"/>
        <v>2.1790171433049349E-3</v>
      </c>
      <c r="E53">
        <f t="shared" si="1"/>
        <v>1.1004690254388678</v>
      </c>
      <c r="F53">
        <f t="shared" si="2"/>
        <v>1.0427711527599701</v>
      </c>
    </row>
    <row r="54" spans="1:6" x14ac:dyDescent="0.25">
      <c r="A54" s="2">
        <v>41060</v>
      </c>
      <c r="B54">
        <v>-2.8333428525387949E-2</v>
      </c>
      <c r="C54">
        <v>-4.2148152401787112E-2</v>
      </c>
      <c r="D54">
        <f t="shared" si="0"/>
        <v>1.3814723876399163E-2</v>
      </c>
      <c r="E54">
        <f t="shared" si="1"/>
        <v>1.0692889649621922</v>
      </c>
      <c r="F54">
        <f t="shared" si="2"/>
        <v>0.99882027529325568</v>
      </c>
    </row>
    <row r="55" spans="1:6" x14ac:dyDescent="0.25">
      <c r="A55" s="2">
        <v>41089</v>
      </c>
      <c r="B55">
        <v>1.7203276739762682E-2</v>
      </c>
      <c r="C55">
        <v>2.2464960179922451E-2</v>
      </c>
      <c r="D55">
        <f t="shared" si="0"/>
        <v>-5.2616834401597694E-3</v>
      </c>
      <c r="E55">
        <f t="shared" si="1"/>
        <v>1.0876842389412111</v>
      </c>
      <c r="F55">
        <f t="shared" si="2"/>
        <v>1.0212587330046179</v>
      </c>
    </row>
    <row r="56" spans="1:6" x14ac:dyDescent="0.25">
      <c r="A56" s="2">
        <v>41121</v>
      </c>
      <c r="B56">
        <v>1.010018688375084E-2</v>
      </c>
      <c r="C56">
        <v>1.1622821504786419E-2</v>
      </c>
      <c r="D56">
        <f t="shared" si="0"/>
        <v>-1.522634621035579E-3</v>
      </c>
      <c r="E56">
        <f t="shared" si="1"/>
        <v>1.0986700530250277</v>
      </c>
      <c r="F56">
        <f t="shared" si="2"/>
        <v>1.033128640968535</v>
      </c>
    </row>
    <row r="57" spans="1:6" x14ac:dyDescent="0.25">
      <c r="A57" s="2">
        <v>41152</v>
      </c>
      <c r="B57">
        <v>1.4124619692589701E-2</v>
      </c>
      <c r="C57">
        <v>1.4795813140997141E-2</v>
      </c>
      <c r="D57">
        <f t="shared" si="0"/>
        <v>-6.7119344840744014E-4</v>
      </c>
      <c r="E57">
        <f t="shared" si="1"/>
        <v>1.1141883496916436</v>
      </c>
      <c r="F57">
        <f t="shared" si="2"/>
        <v>1.0484146192909176</v>
      </c>
    </row>
    <row r="58" spans="1:6" x14ac:dyDescent="0.25">
      <c r="A58" s="2">
        <v>41180</v>
      </c>
      <c r="B58">
        <v>1.6437157425965378E-2</v>
      </c>
      <c r="C58">
        <v>2.0479860631620269E-2</v>
      </c>
      <c r="D58">
        <f t="shared" si="0"/>
        <v>-4.0427032056548906E-3</v>
      </c>
      <c r="E58">
        <f t="shared" si="1"/>
        <v>1.1325024389977016</v>
      </c>
      <c r="F58">
        <f t="shared" si="2"/>
        <v>1.0698860045781489</v>
      </c>
    </row>
    <row r="59" spans="1:6" x14ac:dyDescent="0.25">
      <c r="A59" s="2">
        <v>41213</v>
      </c>
      <c r="B59">
        <v>-5.5467023016152186E-3</v>
      </c>
      <c r="C59">
        <v>-3.0518987672735511E-3</v>
      </c>
      <c r="D59">
        <f t="shared" si="0"/>
        <v>-2.4948035343416676E-3</v>
      </c>
      <c r="E59">
        <f t="shared" si="1"/>
        <v>1.1262207851127282</v>
      </c>
      <c r="F59">
        <f t="shared" si="2"/>
        <v>1.0666208207996537</v>
      </c>
    </row>
    <row r="60" spans="1:6" x14ac:dyDescent="0.25">
      <c r="A60" s="2">
        <v>41243</v>
      </c>
      <c r="B60">
        <v>4.4125107858430223E-3</v>
      </c>
      <c r="C60">
        <v>6.0624907130119362E-3</v>
      </c>
      <c r="D60">
        <f t="shared" si="0"/>
        <v>-1.6499799271689139E-3</v>
      </c>
      <c r="E60">
        <f t="shared" si="1"/>
        <v>1.1311902464742787</v>
      </c>
      <c r="F60">
        <f t="shared" si="2"/>
        <v>1.0730871996200568</v>
      </c>
    </row>
    <row r="61" spans="1:6" x14ac:dyDescent="0.25">
      <c r="A61" s="2">
        <v>41274</v>
      </c>
      <c r="B61">
        <v>3.732675347139355E-3</v>
      </c>
      <c r="C61">
        <v>8.3372420205309224E-3</v>
      </c>
      <c r="D61">
        <f t="shared" si="0"/>
        <v>-4.6045666733915674E-3</v>
      </c>
      <c r="E61">
        <f t="shared" si="1"/>
        <v>1.1354126124202177</v>
      </c>
      <c r="F61">
        <f t="shared" si="2"/>
        <v>1.0820337873124231</v>
      </c>
    </row>
    <row r="62" spans="1:6" x14ac:dyDescent="0.25">
      <c r="A62" s="2">
        <v>41305</v>
      </c>
      <c r="B62">
        <v>1.344788536444896E-2</v>
      </c>
      <c r="C62">
        <v>1.546592740913306E-2</v>
      </c>
      <c r="D62">
        <f t="shared" si="0"/>
        <v>-2.0180420446840996E-3</v>
      </c>
      <c r="E62">
        <f t="shared" si="1"/>
        <v>1.1506815110733941</v>
      </c>
      <c r="F62">
        <f t="shared" si="2"/>
        <v>1.0987684433212264</v>
      </c>
    </row>
    <row r="63" spans="1:6" x14ac:dyDescent="0.25">
      <c r="A63" s="2">
        <v>41333</v>
      </c>
      <c r="B63">
        <v>-2.1304629356358289E-3</v>
      </c>
      <c r="C63">
        <v>-5.0637356678892376E-3</v>
      </c>
      <c r="D63">
        <f t="shared" si="0"/>
        <v>2.9332727322534087E-3</v>
      </c>
      <c r="E63">
        <f t="shared" si="1"/>
        <v>1.148230026763331</v>
      </c>
      <c r="F63">
        <f t="shared" si="2"/>
        <v>1.0932045703640296</v>
      </c>
    </row>
    <row r="64" spans="1:6" x14ac:dyDescent="0.25">
      <c r="A64" s="2">
        <v>41361</v>
      </c>
      <c r="B64">
        <v>1.063783319814238E-2</v>
      </c>
      <c r="C64">
        <v>7.2771437484577426E-3</v>
      </c>
      <c r="D64">
        <f t="shared" si="0"/>
        <v>3.3606894496846377E-3</v>
      </c>
      <c r="E64">
        <f t="shared" si="1"/>
        <v>1.160444706261138</v>
      </c>
      <c r="F64">
        <f t="shared" si="2"/>
        <v>1.1011599771690397</v>
      </c>
    </row>
    <row r="65" spans="1:6" x14ac:dyDescent="0.25">
      <c r="A65" s="2">
        <v>41394</v>
      </c>
      <c r="B65">
        <v>1.521552410505708E-2</v>
      </c>
      <c r="C65">
        <v>1.9654172735622751E-2</v>
      </c>
      <c r="D65">
        <f t="shared" si="0"/>
        <v>-4.4386486305656708E-3</v>
      </c>
      <c r="E65">
        <f t="shared" si="1"/>
        <v>1.1781014806618404</v>
      </c>
      <c r="F65">
        <f t="shared" si="2"/>
        <v>1.1228023655698744</v>
      </c>
    </row>
    <row r="66" spans="1:6" x14ac:dyDescent="0.25">
      <c r="A66" s="2">
        <v>41425</v>
      </c>
      <c r="B66">
        <v>-1.2240565217993269E-2</v>
      </c>
      <c r="C66">
        <v>-1.773133943568761E-2</v>
      </c>
      <c r="D66">
        <f t="shared" ref="D66:D129" si="3">B66-C66</f>
        <v>5.4907742176943403E-3</v>
      </c>
      <c r="E66">
        <f t="shared" si="1"/>
        <v>1.1636808526543847</v>
      </c>
      <c r="F66">
        <f t="shared" si="2"/>
        <v>1.1028935757067619</v>
      </c>
    </row>
    <row r="67" spans="1:6" x14ac:dyDescent="0.25">
      <c r="A67" s="2">
        <v>41453</v>
      </c>
      <c r="B67">
        <v>-1.49771051583414E-2</v>
      </c>
      <c r="C67">
        <v>-2.0379882958823651E-2</v>
      </c>
      <c r="D67">
        <f t="shared" si="3"/>
        <v>5.4027778004822509E-3</v>
      </c>
      <c r="E67">
        <f t="shared" ref="E67:E130" si="4">E66*(1+B67)</f>
        <v>1.1462522821534316</v>
      </c>
      <c r="F67">
        <f t="shared" ref="F67:F130" si="5">F66*(1+C67)</f>
        <v>1.0804167337178197</v>
      </c>
    </row>
    <row r="68" spans="1:6" x14ac:dyDescent="0.25">
      <c r="A68" s="2">
        <v>41486</v>
      </c>
      <c r="B68">
        <v>2.555847699469882E-2</v>
      </c>
      <c r="C68">
        <v>2.7689637201083871E-2</v>
      </c>
      <c r="D68">
        <f t="shared" si="3"/>
        <v>-2.1311602063850514E-3</v>
      </c>
      <c r="E68">
        <f t="shared" si="4"/>
        <v>1.175548744736971</v>
      </c>
      <c r="F68">
        <f t="shared" si="5"/>
        <v>1.1103330811004462</v>
      </c>
    </row>
    <row r="69" spans="1:6" x14ac:dyDescent="0.25">
      <c r="A69" s="2">
        <v>41516</v>
      </c>
      <c r="B69">
        <v>-1.252046921662155E-2</v>
      </c>
      <c r="C69">
        <v>-1.161599093318132E-2</v>
      </c>
      <c r="D69">
        <f t="shared" si="3"/>
        <v>-9.0447828344022985E-4</v>
      </c>
      <c r="E69">
        <f t="shared" si="4"/>
        <v>1.1608303228658536</v>
      </c>
      <c r="F69">
        <f t="shared" si="5"/>
        <v>1.0974354620975721</v>
      </c>
    </row>
    <row r="70" spans="1:6" x14ac:dyDescent="0.25">
      <c r="A70" s="2">
        <v>41547</v>
      </c>
      <c r="B70">
        <v>2.91249232238368E-2</v>
      </c>
      <c r="C70">
        <v>3.5065813980171792E-2</v>
      </c>
      <c r="D70">
        <f t="shared" si="3"/>
        <v>-5.9408907563349919E-3</v>
      </c>
      <c r="E70">
        <f t="shared" si="4"/>
        <v>1.1946394168952235</v>
      </c>
      <c r="F70">
        <f t="shared" si="5"/>
        <v>1.1359179298667295</v>
      </c>
    </row>
    <row r="71" spans="1:6" x14ac:dyDescent="0.25">
      <c r="A71" s="2">
        <v>41578</v>
      </c>
      <c r="B71">
        <v>1.916964873028951E-2</v>
      </c>
      <c r="C71">
        <v>2.2284257441604081E-2</v>
      </c>
      <c r="D71">
        <f t="shared" si="3"/>
        <v>-3.1146087113145711E-3</v>
      </c>
      <c r="E71">
        <f t="shared" si="4"/>
        <v>1.2175402348764628</v>
      </c>
      <c r="F71">
        <f t="shared" si="5"/>
        <v>1.1612310174484135</v>
      </c>
    </row>
    <row r="72" spans="1:6" x14ac:dyDescent="0.25">
      <c r="A72" s="2">
        <v>41607</v>
      </c>
      <c r="B72">
        <v>4.4154969579023951E-3</v>
      </c>
      <c r="C72">
        <v>1.4198034024429139E-3</v>
      </c>
      <c r="D72">
        <f t="shared" si="3"/>
        <v>2.9956935554594812E-3</v>
      </c>
      <c r="E72">
        <f t="shared" si="4"/>
        <v>1.2229162800796836</v>
      </c>
      <c r="F72">
        <f t="shared" si="5"/>
        <v>1.1628797371980089</v>
      </c>
    </row>
    <row r="73" spans="1:6" x14ac:dyDescent="0.25">
      <c r="A73" s="2">
        <v>41639</v>
      </c>
      <c r="B73">
        <v>4.1805089888675168E-3</v>
      </c>
      <c r="C73">
        <v>3.9301083783888817E-3</v>
      </c>
      <c r="D73">
        <f t="shared" si="3"/>
        <v>2.5040061047863511E-4</v>
      </c>
      <c r="E73">
        <f t="shared" si="4"/>
        <v>1.2280286925811892</v>
      </c>
      <c r="F73">
        <f t="shared" si="5"/>
        <v>1.1674499805962295</v>
      </c>
    </row>
    <row r="74" spans="1:6" x14ac:dyDescent="0.25">
      <c r="A74" s="2">
        <v>41670</v>
      </c>
      <c r="B74">
        <v>-4.6977053244942673E-3</v>
      </c>
      <c r="C74">
        <v>-1.1727324948698711E-2</v>
      </c>
      <c r="D74">
        <f t="shared" si="3"/>
        <v>7.0296196242044433E-3</v>
      </c>
      <c r="E74">
        <f t="shared" si="4"/>
        <v>1.2222597756534188</v>
      </c>
      <c r="F74">
        <f t="shared" si="5"/>
        <v>1.1537589153124255</v>
      </c>
    </row>
    <row r="75" spans="1:6" x14ac:dyDescent="0.25">
      <c r="A75" s="2">
        <v>41698</v>
      </c>
      <c r="B75">
        <v>2.6488910777896349E-2</v>
      </c>
      <c r="C75">
        <v>3.0695516344180308E-2</v>
      </c>
      <c r="D75">
        <f t="shared" si="3"/>
        <v>-4.2066055662839594E-3</v>
      </c>
      <c r="E75">
        <f t="shared" si="4"/>
        <v>1.2546361057981137</v>
      </c>
      <c r="F75">
        <f t="shared" si="5"/>
        <v>1.1891741409546417</v>
      </c>
    </row>
    <row r="76" spans="1:6" x14ac:dyDescent="0.25">
      <c r="A76" s="2">
        <v>41729</v>
      </c>
      <c r="B76">
        <v>5.9806880486231665E-4</v>
      </c>
      <c r="C76">
        <v>1.7217038557334791E-3</v>
      </c>
      <c r="D76">
        <f t="shared" si="3"/>
        <v>-1.1236350508711623E-3</v>
      </c>
      <c r="E76">
        <f t="shared" si="4"/>
        <v>1.2553864645144455</v>
      </c>
      <c r="F76">
        <f t="shared" si="5"/>
        <v>1.1912215466582619</v>
      </c>
    </row>
    <row r="77" spans="1:6" x14ac:dyDescent="0.25">
      <c r="A77" s="2">
        <v>41759</v>
      </c>
      <c r="B77">
        <v>7.8506592381978185E-3</v>
      </c>
      <c r="C77">
        <v>9.1312588264037872E-3</v>
      </c>
      <c r="D77">
        <f t="shared" si="3"/>
        <v>-1.2805995882059686E-3</v>
      </c>
      <c r="E77">
        <f t="shared" si="4"/>
        <v>1.2652420758595941</v>
      </c>
      <c r="F77">
        <f t="shared" si="5"/>
        <v>1.2020988989203876</v>
      </c>
    </row>
    <row r="78" spans="1:6" x14ac:dyDescent="0.25">
      <c r="A78" s="2">
        <v>41789</v>
      </c>
      <c r="B78">
        <v>1.2037607608567759E-2</v>
      </c>
      <c r="C78">
        <v>1.2815868116723569E-2</v>
      </c>
      <c r="D78">
        <f t="shared" si="3"/>
        <v>-7.782605081558102E-4</v>
      </c>
      <c r="E78">
        <f t="shared" si="4"/>
        <v>1.2804725634986416</v>
      </c>
      <c r="F78">
        <f t="shared" si="5"/>
        <v>1.2175048398722099</v>
      </c>
    </row>
    <row r="79" spans="1:6" x14ac:dyDescent="0.25">
      <c r="A79" s="2">
        <v>41820</v>
      </c>
      <c r="B79">
        <v>1.298525481820813E-2</v>
      </c>
      <c r="C79">
        <v>1.384478993252658E-2</v>
      </c>
      <c r="D79">
        <f t="shared" si="3"/>
        <v>-8.5953511431845035E-4</v>
      </c>
      <c r="E79">
        <f t="shared" si="4"/>
        <v>1.2970998260233957</v>
      </c>
      <c r="F79">
        <f t="shared" si="5"/>
        <v>1.2343609386220753</v>
      </c>
    </row>
    <row r="80" spans="1:6" x14ac:dyDescent="0.25">
      <c r="A80" s="2">
        <v>41851</v>
      </c>
      <c r="B80">
        <v>-1.2453030694190719E-2</v>
      </c>
      <c r="C80">
        <v>-1.1996216076646041E-2</v>
      </c>
      <c r="D80">
        <f t="shared" si="3"/>
        <v>-4.5681461754467842E-4</v>
      </c>
      <c r="E80">
        <f t="shared" si="4"/>
        <v>1.280947002076497</v>
      </c>
      <c r="F80">
        <f t="shared" si="5"/>
        <v>1.2195532780857932</v>
      </c>
    </row>
    <row r="81" spans="1:6" x14ac:dyDescent="0.25">
      <c r="A81" s="2">
        <v>41880</v>
      </c>
      <c r="B81">
        <v>1.7492103334836619E-2</v>
      </c>
      <c r="C81">
        <v>1.4261321816939039E-2</v>
      </c>
      <c r="D81">
        <f t="shared" si="3"/>
        <v>3.2307815178975793E-3</v>
      </c>
      <c r="E81">
        <f t="shared" si="4"/>
        <v>1.3033534594032681</v>
      </c>
      <c r="F81">
        <f t="shared" si="5"/>
        <v>1.2369457198574776</v>
      </c>
    </row>
    <row r="82" spans="1:6" x14ac:dyDescent="0.25">
      <c r="A82" s="2">
        <v>41912</v>
      </c>
      <c r="B82">
        <v>-2.4710735729936959E-2</v>
      </c>
      <c r="C82">
        <v>-3.0992061496519379E-2</v>
      </c>
      <c r="D82">
        <f t="shared" si="3"/>
        <v>6.2813257665824199E-3</v>
      </c>
      <c r="E82">
        <f t="shared" si="4"/>
        <v>1.2711466365052548</v>
      </c>
      <c r="F82">
        <f t="shared" si="5"/>
        <v>1.1986102220397983</v>
      </c>
    </row>
    <row r="83" spans="1:6" x14ac:dyDescent="0.25">
      <c r="A83" s="2">
        <v>41943</v>
      </c>
      <c r="B83">
        <v>8.951907176593648E-3</v>
      </c>
      <c r="C83">
        <v>3.8773230129055419E-3</v>
      </c>
      <c r="D83">
        <f t="shared" si="3"/>
        <v>5.0745841636881065E-3</v>
      </c>
      <c r="E83">
        <f t="shared" si="4"/>
        <v>1.2825258232030889</v>
      </c>
      <c r="F83">
        <f t="shared" si="5"/>
        <v>1.2032576210372168</v>
      </c>
    </row>
    <row r="84" spans="1:6" x14ac:dyDescent="0.25">
      <c r="A84" s="2">
        <v>41971</v>
      </c>
      <c r="B84">
        <v>6.7030731603935391E-3</v>
      </c>
      <c r="C84">
        <v>5.3290163164252816E-3</v>
      </c>
      <c r="D84">
        <f t="shared" si="3"/>
        <v>1.3740568439682575E-3</v>
      </c>
      <c r="E84">
        <f t="shared" si="4"/>
        <v>1.2911226876261133</v>
      </c>
      <c r="F84">
        <f t="shared" si="5"/>
        <v>1.2096698005325872</v>
      </c>
    </row>
    <row r="85" spans="1:6" x14ac:dyDescent="0.25">
      <c r="A85" s="2">
        <v>42004</v>
      </c>
      <c r="B85">
        <v>-5.1860654919130738E-3</v>
      </c>
      <c r="C85">
        <v>-1.16256459695755E-2</v>
      </c>
      <c r="D85">
        <f t="shared" si="3"/>
        <v>6.4395804776624264E-3</v>
      </c>
      <c r="E85">
        <f t="shared" si="4"/>
        <v>1.2844268408099895</v>
      </c>
      <c r="F85">
        <f t="shared" si="5"/>
        <v>1.1956066076915084</v>
      </c>
    </row>
    <row r="86" spans="1:6" x14ac:dyDescent="0.25">
      <c r="A86" s="2">
        <v>42034</v>
      </c>
      <c r="B86">
        <v>-7.6278572966260536E-3</v>
      </c>
      <c r="C86">
        <v>-8.1644516811169611E-3</v>
      </c>
      <c r="D86">
        <f t="shared" si="3"/>
        <v>5.3659438449090748E-4</v>
      </c>
      <c r="E86">
        <f t="shared" si="4"/>
        <v>1.2746294161603346</v>
      </c>
      <c r="F86">
        <f t="shared" si="5"/>
        <v>1.1858451353133868</v>
      </c>
    </row>
    <row r="87" spans="1:6" x14ac:dyDescent="0.25">
      <c r="A87" s="2">
        <v>42062</v>
      </c>
      <c r="B87">
        <v>1.7062666162427419E-2</v>
      </c>
      <c r="C87">
        <v>2.259105391032289E-2</v>
      </c>
      <c r="D87">
        <f t="shared" si="3"/>
        <v>-5.5283877478954704E-3</v>
      </c>
      <c r="E87">
        <f t="shared" si="4"/>
        <v>1.2963779923690881</v>
      </c>
      <c r="F87">
        <f t="shared" si="5"/>
        <v>1.2126346266945456</v>
      </c>
    </row>
    <row r="88" spans="1:6" x14ac:dyDescent="0.25">
      <c r="A88" s="2">
        <v>42094</v>
      </c>
      <c r="B88">
        <v>-8.1378968644212173E-3</v>
      </c>
      <c r="C88">
        <v>-1.114505672283834E-2</v>
      </c>
      <c r="D88">
        <f t="shared" si="3"/>
        <v>3.0071598584171227E-3</v>
      </c>
      <c r="E88">
        <f t="shared" si="4"/>
        <v>1.285828201969883</v>
      </c>
      <c r="F88">
        <f t="shared" si="5"/>
        <v>1.199119744995957</v>
      </c>
    </row>
    <row r="89" spans="1:6" x14ac:dyDescent="0.25">
      <c r="A89" s="2">
        <v>42124</v>
      </c>
      <c r="B89">
        <v>8.2213108749768418E-3</v>
      </c>
      <c r="C89">
        <v>1.8725537507531979E-2</v>
      </c>
      <c r="D89">
        <f t="shared" si="3"/>
        <v>-1.0504226632555137E-2</v>
      </c>
      <c r="E89">
        <f t="shared" si="4"/>
        <v>1.2963993953500901</v>
      </c>
      <c r="F89">
        <f t="shared" si="5"/>
        <v>1.2215739067569009</v>
      </c>
    </row>
    <row r="90" spans="1:6" x14ac:dyDescent="0.25">
      <c r="A90" s="2">
        <v>42153</v>
      </c>
      <c r="B90">
        <v>-5.0973615134404784E-3</v>
      </c>
      <c r="C90">
        <v>-8.4549971258658443E-3</v>
      </c>
      <c r="D90">
        <f t="shared" si="3"/>
        <v>3.3576356124253659E-3</v>
      </c>
      <c r="E90">
        <f t="shared" si="4"/>
        <v>1.2897911789661851</v>
      </c>
      <c r="F90">
        <f t="shared" si="5"/>
        <v>1.2112455028862386</v>
      </c>
    </row>
    <row r="91" spans="1:6" x14ac:dyDescent="0.25">
      <c r="A91" s="2">
        <v>42185</v>
      </c>
      <c r="B91">
        <v>-8.6206110198792252E-3</v>
      </c>
      <c r="C91">
        <v>-1.2371702111239729E-2</v>
      </c>
      <c r="D91">
        <f t="shared" si="3"/>
        <v>3.751091091360504E-3</v>
      </c>
      <c r="E91">
        <f t="shared" si="4"/>
        <v>1.2786723909154463</v>
      </c>
      <c r="F91">
        <f t="shared" si="5"/>
        <v>1.1962603343409512</v>
      </c>
    </row>
    <row r="92" spans="1:6" x14ac:dyDescent="0.25">
      <c r="A92" s="2">
        <v>42216</v>
      </c>
      <c r="B92">
        <v>8.209188232705434E-3</v>
      </c>
      <c r="C92">
        <v>4.5480274999491581E-3</v>
      </c>
      <c r="D92">
        <f t="shared" si="3"/>
        <v>3.6611607327562759E-3</v>
      </c>
      <c r="E92">
        <f t="shared" si="4"/>
        <v>1.2891692532604346</v>
      </c>
      <c r="F92">
        <f t="shared" si="5"/>
        <v>1.2017009592386323</v>
      </c>
    </row>
    <row r="93" spans="1:6" x14ac:dyDescent="0.25">
      <c r="A93" s="2">
        <v>42247</v>
      </c>
      <c r="B93">
        <v>-2.3496707076425889E-2</v>
      </c>
      <c r="C93">
        <v>-3.1263023260709413E-2</v>
      </c>
      <c r="D93">
        <f t="shared" si="3"/>
        <v>7.7663161842835247E-3</v>
      </c>
      <c r="E93">
        <f t="shared" si="4"/>
        <v>1.2588780209446395</v>
      </c>
      <c r="F93">
        <f t="shared" si="5"/>
        <v>1.1641321541975382</v>
      </c>
    </row>
    <row r="94" spans="1:6" x14ac:dyDescent="0.25">
      <c r="A94" s="2">
        <v>42277</v>
      </c>
      <c r="B94">
        <v>-9.8266911259391361E-3</v>
      </c>
      <c r="C94">
        <v>-1.5030818379465049E-2</v>
      </c>
      <c r="D94">
        <f t="shared" si="3"/>
        <v>5.2041272535259132E-3</v>
      </c>
      <c r="E94">
        <f t="shared" si="4"/>
        <v>1.246507415467583</v>
      </c>
      <c r="F94">
        <f t="shared" si="5"/>
        <v>1.1466342952180997</v>
      </c>
    </row>
    <row r="95" spans="1:6" x14ac:dyDescent="0.25">
      <c r="A95" s="2">
        <v>42307</v>
      </c>
      <c r="B95">
        <v>3.0578687824157239E-2</v>
      </c>
      <c r="C95">
        <v>3.7563265892417742E-2</v>
      </c>
      <c r="D95">
        <f t="shared" si="3"/>
        <v>-6.9845780682605031E-3</v>
      </c>
      <c r="E95">
        <f t="shared" si="4"/>
        <v>1.2846239765956633</v>
      </c>
      <c r="F95">
        <f t="shared" si="5"/>
        <v>1.189705624130742</v>
      </c>
    </row>
    <row r="96" spans="1:6" x14ac:dyDescent="0.25">
      <c r="A96" s="2">
        <v>42338</v>
      </c>
      <c r="B96">
        <v>-6.6498813780068687E-3</v>
      </c>
      <c r="C96">
        <v>-1.15579045145615E-2</v>
      </c>
      <c r="D96">
        <f t="shared" si="3"/>
        <v>4.9080231365546314E-3</v>
      </c>
      <c r="E96">
        <f t="shared" si="4"/>
        <v>1.2760813795359587</v>
      </c>
      <c r="F96">
        <f t="shared" si="5"/>
        <v>1.1759551201266021</v>
      </c>
    </row>
    <row r="97" spans="1:6" x14ac:dyDescent="0.25">
      <c r="A97" s="2">
        <v>42369</v>
      </c>
      <c r="B97">
        <v>-5.9403179710203792E-3</v>
      </c>
      <c r="C97">
        <v>-6.8001568916850183E-3</v>
      </c>
      <c r="D97">
        <f t="shared" si="3"/>
        <v>8.5983892066463907E-4</v>
      </c>
      <c r="E97">
        <f t="shared" si="4"/>
        <v>1.2685010503846168</v>
      </c>
      <c r="F97">
        <f t="shared" si="5"/>
        <v>1.1679584408121608</v>
      </c>
    </row>
    <row r="98" spans="1:6" x14ac:dyDescent="0.25">
      <c r="A98" s="2">
        <v>42398</v>
      </c>
      <c r="B98">
        <v>-1.8637058756778291E-2</v>
      </c>
      <c r="C98">
        <v>-2.4829839456771439E-2</v>
      </c>
      <c r="D98">
        <f t="shared" si="3"/>
        <v>6.1927806999931487E-3</v>
      </c>
      <c r="E98">
        <f t="shared" si="4"/>
        <v>1.2448599217755636</v>
      </c>
      <c r="F98">
        <f t="shared" si="5"/>
        <v>1.1389582202346138</v>
      </c>
    </row>
    <row r="99" spans="1:6" x14ac:dyDescent="0.25">
      <c r="A99" s="2">
        <v>42429</v>
      </c>
      <c r="B99">
        <v>1.010437367404185E-2</v>
      </c>
      <c r="C99">
        <v>8.7890536165557975E-3</v>
      </c>
      <c r="D99">
        <f t="shared" si="3"/>
        <v>1.3153200574860524E-3</v>
      </c>
      <c r="E99">
        <f t="shared" si="4"/>
        <v>1.2574384515970223</v>
      </c>
      <c r="F99">
        <f t="shared" si="5"/>
        <v>1.1489685850992728</v>
      </c>
    </row>
    <row r="100" spans="1:6" x14ac:dyDescent="0.25">
      <c r="A100" s="2">
        <v>42460</v>
      </c>
      <c r="B100">
        <v>4.2029355495878523E-2</v>
      </c>
      <c r="C100">
        <v>5.0160619208528781E-2</v>
      </c>
      <c r="D100">
        <f t="shared" si="3"/>
        <v>-8.1312637126502579E-3</v>
      </c>
      <c r="E100">
        <f t="shared" si="4"/>
        <v>1.3102877792933807</v>
      </c>
      <c r="F100">
        <f t="shared" si="5"/>
        <v>1.2066015607789997</v>
      </c>
    </row>
    <row r="101" spans="1:6" x14ac:dyDescent="0.25">
      <c r="A101" s="2">
        <v>42489</v>
      </c>
      <c r="B101">
        <v>1.072847569009527E-2</v>
      </c>
      <c r="C101">
        <v>1.456931784244187E-2</v>
      </c>
      <c r="D101">
        <f t="shared" si="3"/>
        <v>-3.8408421523465994E-3</v>
      </c>
      <c r="E101">
        <f t="shared" si="4"/>
        <v>1.3243451698805586</v>
      </c>
      <c r="F101">
        <f t="shared" si="5"/>
        <v>1.2241809224271756</v>
      </c>
    </row>
    <row r="102" spans="1:6" x14ac:dyDescent="0.25">
      <c r="A102" s="2">
        <v>42521</v>
      </c>
      <c r="B102">
        <v>-2.0719408788084389E-4</v>
      </c>
      <c r="C102">
        <v>-5.1766229830904264E-3</v>
      </c>
      <c r="D102">
        <f t="shared" si="3"/>
        <v>4.9694288952095824E-3</v>
      </c>
      <c r="E102">
        <f t="shared" si="4"/>
        <v>1.3240707733910457</v>
      </c>
      <c r="F102">
        <f t="shared" si="5"/>
        <v>1.2178437993286781</v>
      </c>
    </row>
    <row r="103" spans="1:6" x14ac:dyDescent="0.25">
      <c r="A103" s="2">
        <v>42551</v>
      </c>
      <c r="B103">
        <v>1.498047197593441E-2</v>
      </c>
      <c r="C103">
        <v>1.1377218765843749E-2</v>
      </c>
      <c r="D103">
        <f t="shared" si="3"/>
        <v>3.6032532100906609E-3</v>
      </c>
      <c r="E103">
        <f t="shared" si="4"/>
        <v>1.3439059785059839</v>
      </c>
      <c r="F103">
        <f t="shared" si="5"/>
        <v>1.2316994746562671</v>
      </c>
    </row>
    <row r="104" spans="1:6" x14ac:dyDescent="0.25">
      <c r="A104" s="2">
        <v>42580</v>
      </c>
      <c r="B104">
        <v>2.1352179102640149E-2</v>
      </c>
      <c r="C104">
        <v>2.5215535123533469E-2</v>
      </c>
      <c r="D104">
        <f t="shared" si="3"/>
        <v>-3.8633560208933201E-3</v>
      </c>
      <c r="E104">
        <f t="shared" si="4"/>
        <v>1.3726012996561525</v>
      </c>
      <c r="F104">
        <f t="shared" si="5"/>
        <v>1.2627574360210998</v>
      </c>
    </row>
    <row r="105" spans="1:6" x14ac:dyDescent="0.25">
      <c r="A105" s="2">
        <v>42613</v>
      </c>
      <c r="B105">
        <v>-2.9049967701506179E-4</v>
      </c>
      <c r="C105">
        <v>2.634925709886202E-4</v>
      </c>
      <c r="D105">
        <f t="shared" si="3"/>
        <v>-5.5399224800368194E-4</v>
      </c>
      <c r="E105">
        <f t="shared" si="4"/>
        <v>1.3722025594219318</v>
      </c>
      <c r="F105">
        <f t="shared" si="5"/>
        <v>1.263090163224452</v>
      </c>
    </row>
    <row r="106" spans="1:6" x14ac:dyDescent="0.25">
      <c r="A106" s="2">
        <v>42643</v>
      </c>
      <c r="B106">
        <v>3.9051013596084799E-3</v>
      </c>
      <c r="C106">
        <v>6.1688685487779884E-3</v>
      </c>
      <c r="D106">
        <f t="shared" si="3"/>
        <v>-2.2637671891695085E-3</v>
      </c>
      <c r="E106">
        <f t="shared" si="4"/>
        <v>1.3775611495023887</v>
      </c>
      <c r="F106">
        <f t="shared" si="5"/>
        <v>1.2708820004066381</v>
      </c>
    </row>
    <row r="107" spans="1:6" x14ac:dyDescent="0.25">
      <c r="A107" s="2">
        <v>42674</v>
      </c>
      <c r="B107">
        <v>-2.4740614567910501E-2</v>
      </c>
      <c r="C107">
        <v>-2.3240370216899571E-2</v>
      </c>
      <c r="D107">
        <f t="shared" si="3"/>
        <v>-1.5002443510109299E-3</v>
      </c>
      <c r="E107">
        <f t="shared" si="4"/>
        <v>1.3434794400588224</v>
      </c>
      <c r="F107">
        <f t="shared" si="5"/>
        <v>1.2413462322151938</v>
      </c>
    </row>
    <row r="108" spans="1:6" x14ac:dyDescent="0.25">
      <c r="A108" s="2">
        <v>42704</v>
      </c>
      <c r="B108">
        <v>-6.254101265484065E-3</v>
      </c>
      <c r="C108">
        <v>-1.464784830893478E-2</v>
      </c>
      <c r="D108">
        <f t="shared" si="3"/>
        <v>8.3937470434507153E-3</v>
      </c>
      <c r="E108">
        <f t="shared" si="4"/>
        <v>1.3350771835925985</v>
      </c>
      <c r="F108">
        <f t="shared" si="5"/>
        <v>1.223163180906838</v>
      </c>
    </row>
    <row r="109" spans="1:6" x14ac:dyDescent="0.25">
      <c r="A109" s="2">
        <v>42734</v>
      </c>
      <c r="B109">
        <v>7.1058174579963999E-3</v>
      </c>
      <c r="C109">
        <v>8.8308354051027296E-3</v>
      </c>
      <c r="D109">
        <f t="shared" si="3"/>
        <v>-1.7250179471063297E-3</v>
      </c>
      <c r="E109">
        <f t="shared" si="4"/>
        <v>1.3445639983515434</v>
      </c>
      <c r="F109">
        <f t="shared" si="5"/>
        <v>1.2339647336310082</v>
      </c>
    </row>
    <row r="110" spans="1:6" x14ac:dyDescent="0.25">
      <c r="A110" s="2">
        <v>42766</v>
      </c>
      <c r="B110">
        <v>1.455940252381323E-2</v>
      </c>
      <c r="C110">
        <v>1.8614622450113971E-2</v>
      </c>
      <c r="D110">
        <f t="shared" si="3"/>
        <v>-4.0552199263007415E-3</v>
      </c>
      <c r="E110">
        <f t="shared" si="4"/>
        <v>1.3641400468225711</v>
      </c>
      <c r="F110">
        <f t="shared" si="5"/>
        <v>1.256934521264305</v>
      </c>
    </row>
    <row r="111" spans="1:6" x14ac:dyDescent="0.25">
      <c r="A111" s="2">
        <v>42794</v>
      </c>
      <c r="B111">
        <v>1.6165718425608929E-2</v>
      </c>
      <c r="C111">
        <v>1.554356388012665E-2</v>
      </c>
      <c r="D111">
        <f t="shared" si="3"/>
        <v>6.221545454822789E-4</v>
      </c>
      <c r="E111">
        <f t="shared" si="4"/>
        <v>1.3861923507126017</v>
      </c>
      <c r="F111">
        <f t="shared" si="5"/>
        <v>1.2764717632887133</v>
      </c>
    </row>
    <row r="112" spans="1:6" x14ac:dyDescent="0.25">
      <c r="A112" s="2">
        <v>42825</v>
      </c>
      <c r="B112">
        <v>2.8786936668872341E-3</v>
      </c>
      <c r="C112">
        <v>6.1676007408740831E-3</v>
      </c>
      <c r="D112">
        <f t="shared" si="3"/>
        <v>-3.288907073986849E-3</v>
      </c>
      <c r="E112">
        <f t="shared" si="4"/>
        <v>1.3901827738536856</v>
      </c>
      <c r="F112">
        <f t="shared" si="5"/>
        <v>1.2843445314816777</v>
      </c>
    </row>
    <row r="113" spans="1:6" x14ac:dyDescent="0.25">
      <c r="A113" s="2">
        <v>42853</v>
      </c>
      <c r="B113">
        <v>1.221123255743559E-2</v>
      </c>
      <c r="C113">
        <v>1.400559143330962E-2</v>
      </c>
      <c r="D113">
        <f t="shared" si="3"/>
        <v>-1.7943588758740307E-3</v>
      </c>
      <c r="E113">
        <f t="shared" si="4"/>
        <v>1.4071586190025538</v>
      </c>
      <c r="F113">
        <f t="shared" si="5"/>
        <v>1.3023325362492157</v>
      </c>
    </row>
    <row r="114" spans="1:6" x14ac:dyDescent="0.25">
      <c r="A114" s="2">
        <v>42886</v>
      </c>
      <c r="B114">
        <v>1.3239214988300401E-2</v>
      </c>
      <c r="C114">
        <v>1.7091584055171541E-2</v>
      </c>
      <c r="D114">
        <f t="shared" si="3"/>
        <v>-3.8523690668711402E-3</v>
      </c>
      <c r="E114">
        <f t="shared" si="4"/>
        <v>1.4257882944821687</v>
      </c>
      <c r="F114">
        <f t="shared" si="5"/>
        <v>1.3245914622603039</v>
      </c>
    </row>
    <row r="115" spans="1:6" x14ac:dyDescent="0.25">
      <c r="A115" s="2">
        <v>42916</v>
      </c>
      <c r="B115">
        <v>2.7821963060457111E-3</v>
      </c>
      <c r="C115">
        <v>2.3391037834108062E-3</v>
      </c>
      <c r="D115">
        <f t="shared" si="3"/>
        <v>4.4309252263490494E-4</v>
      </c>
      <c r="E115">
        <f t="shared" si="4"/>
        <v>1.4297551174082801</v>
      </c>
      <c r="F115">
        <f t="shared" si="5"/>
        <v>1.3276898191611506</v>
      </c>
    </row>
    <row r="116" spans="1:6" x14ac:dyDescent="0.25">
      <c r="A116" s="2">
        <v>42947</v>
      </c>
      <c r="B116">
        <v>1.6945527914951849E-2</v>
      </c>
      <c r="C116">
        <v>2.125691384831211E-2</v>
      </c>
      <c r="D116">
        <f t="shared" si="3"/>
        <v>-4.3113859333602615E-3</v>
      </c>
      <c r="E116">
        <f t="shared" si="4"/>
        <v>1.4539830726618672</v>
      </c>
      <c r="F116">
        <f t="shared" si="5"/>
        <v>1.3559124072643403</v>
      </c>
    </row>
    <row r="117" spans="1:6" x14ac:dyDescent="0.25">
      <c r="A117" s="2">
        <v>42978</v>
      </c>
      <c r="B117">
        <v>7.008179714426248E-3</v>
      </c>
      <c r="C117">
        <v>6.9514071730721397E-3</v>
      </c>
      <c r="D117">
        <f t="shared" si="3"/>
        <v>5.6772541354108315E-5</v>
      </c>
      <c r="E117">
        <f t="shared" si="4"/>
        <v>1.4641728473368154</v>
      </c>
      <c r="F117">
        <f t="shared" si="5"/>
        <v>1.3653379064982549</v>
      </c>
    </row>
    <row r="118" spans="1:6" x14ac:dyDescent="0.25">
      <c r="A118" s="2">
        <v>43007</v>
      </c>
      <c r="B118">
        <v>5.6766723240566806E-3</v>
      </c>
      <c r="C118">
        <v>6.0714453757723507E-3</v>
      </c>
      <c r="D118">
        <f t="shared" si="3"/>
        <v>-3.9477305171567011E-4</v>
      </c>
      <c r="E118">
        <f t="shared" si="4"/>
        <v>1.4724844768169276</v>
      </c>
      <c r="F118">
        <f t="shared" si="5"/>
        <v>1.3736274810170306</v>
      </c>
    </row>
    <row r="119" spans="1:6" x14ac:dyDescent="0.25">
      <c r="A119" s="2">
        <v>43039</v>
      </c>
      <c r="B119">
        <v>7.1352429940465013E-3</v>
      </c>
      <c r="C119">
        <v>7.5847952691759646E-3</v>
      </c>
      <c r="D119">
        <f t="shared" si="3"/>
        <v>-4.4955227512946325E-4</v>
      </c>
      <c r="E119">
        <f t="shared" si="4"/>
        <v>1.4829910113639779</v>
      </c>
      <c r="F119">
        <f t="shared" si="5"/>
        <v>1.3840461642366586</v>
      </c>
    </row>
    <row r="120" spans="1:6" x14ac:dyDescent="0.25">
      <c r="A120" s="2">
        <v>43069</v>
      </c>
      <c r="B120">
        <v>1.6171768621350498E-2</v>
      </c>
      <c r="C120">
        <v>1.525498843923689E-2</v>
      </c>
      <c r="D120">
        <f t="shared" si="3"/>
        <v>9.167801821136079E-4</v>
      </c>
      <c r="E120">
        <f t="shared" si="4"/>
        <v>1.5069735988672988</v>
      </c>
      <c r="F120">
        <f t="shared" si="5"/>
        <v>1.4051597724714588</v>
      </c>
    </row>
    <row r="121" spans="1:6" x14ac:dyDescent="0.25">
      <c r="A121" s="2">
        <v>43098</v>
      </c>
      <c r="B121">
        <v>6.9913712402135059E-3</v>
      </c>
      <c r="C121">
        <v>9.7144041875469982E-3</v>
      </c>
      <c r="D121">
        <f t="shared" si="3"/>
        <v>-2.7230329473334923E-3</v>
      </c>
      <c r="E121">
        <f t="shared" si="4"/>
        <v>1.5175094107461806</v>
      </c>
      <c r="F121">
        <f t="shared" si="5"/>
        <v>1.4188100624493281</v>
      </c>
    </row>
    <row r="122" spans="1:6" x14ac:dyDescent="0.25">
      <c r="A122" s="2">
        <v>43131</v>
      </c>
      <c r="B122">
        <v>2.6340571855735191E-2</v>
      </c>
      <c r="C122">
        <v>3.2466485511478509E-2</v>
      </c>
      <c r="D122">
        <f t="shared" si="3"/>
        <v>-6.1259136557433175E-3</v>
      </c>
      <c r="E122">
        <f t="shared" si="4"/>
        <v>1.5574814764216949</v>
      </c>
      <c r="F122">
        <f t="shared" si="5"/>
        <v>1.464873838785379</v>
      </c>
    </row>
    <row r="123" spans="1:6" x14ac:dyDescent="0.25">
      <c r="A123" s="2">
        <v>43159</v>
      </c>
      <c r="B123">
        <v>-2.0965830390644331E-2</v>
      </c>
      <c r="C123">
        <v>-2.5134261693409519E-2</v>
      </c>
      <c r="D123">
        <f t="shared" si="3"/>
        <v>4.1684313027651881E-3</v>
      </c>
      <c r="E123">
        <f t="shared" si="4"/>
        <v>1.5248275839504672</v>
      </c>
      <c r="F123">
        <f t="shared" si="5"/>
        <v>1.4280553163735179</v>
      </c>
    </row>
    <row r="124" spans="1:6" x14ac:dyDescent="0.25">
      <c r="A124" s="2">
        <v>43188</v>
      </c>
      <c r="B124">
        <v>-1.286424822334583E-3</v>
      </c>
      <c r="C124">
        <v>-3.506809618877386E-3</v>
      </c>
      <c r="D124">
        <f t="shared" si="3"/>
        <v>2.2203847965428028E-3</v>
      </c>
      <c r="E124">
        <f t="shared" si="4"/>
        <v>1.5228660078966929</v>
      </c>
      <c r="F124">
        <f t="shared" si="5"/>
        <v>1.4230473982537704</v>
      </c>
    </row>
    <row r="125" spans="1:6" x14ac:dyDescent="0.25">
      <c r="A125" s="2">
        <v>43220</v>
      </c>
      <c r="B125">
        <v>-5.8522551402696238E-3</v>
      </c>
      <c r="C125">
        <v>-3.19722112148949E-3</v>
      </c>
      <c r="D125">
        <f t="shared" si="3"/>
        <v>-2.6550340187801338E-3</v>
      </c>
      <c r="E125">
        <f t="shared" si="4"/>
        <v>1.5139538074740375</v>
      </c>
      <c r="F125">
        <f t="shared" si="5"/>
        <v>1.4184976010551928</v>
      </c>
    </row>
    <row r="126" spans="1:6" x14ac:dyDescent="0.25">
      <c r="A126" s="2">
        <v>43251</v>
      </c>
      <c r="B126">
        <v>6.9615767040110939E-3</v>
      </c>
      <c r="C126">
        <v>-1.9922868171055709E-3</v>
      </c>
      <c r="D126">
        <f t="shared" si="3"/>
        <v>8.9538635211166649E-3</v>
      </c>
      <c r="E126">
        <f t="shared" si="4"/>
        <v>1.5244933130310976</v>
      </c>
      <c r="F126">
        <f t="shared" si="5"/>
        <v>1.4156715469845147</v>
      </c>
    </row>
    <row r="127" spans="1:6" x14ac:dyDescent="0.25">
      <c r="A127" s="2">
        <v>43280</v>
      </c>
      <c r="B127">
        <v>-9.9106283000660383E-4</v>
      </c>
      <c r="C127">
        <v>-5.3178116164551946E-3</v>
      </c>
      <c r="D127">
        <f t="shared" si="3"/>
        <v>4.3267487864485903E-3</v>
      </c>
      <c r="E127">
        <f t="shared" si="4"/>
        <v>1.5229824443739588</v>
      </c>
      <c r="F127">
        <f t="shared" si="5"/>
        <v>1.4081432723868754</v>
      </c>
    </row>
    <row r="128" spans="1:6" x14ac:dyDescent="0.25">
      <c r="A128" s="2">
        <v>43312</v>
      </c>
      <c r="B128">
        <v>1.159839078392238E-2</v>
      </c>
      <c r="C128">
        <v>1.301619720433727E-2</v>
      </c>
      <c r="D128">
        <f t="shared" si="3"/>
        <v>-1.4178064204148893E-3</v>
      </c>
      <c r="E128">
        <f t="shared" si="4"/>
        <v>1.5406465899208612</v>
      </c>
      <c r="F128">
        <f t="shared" si="5"/>
        <v>1.4264719429122237</v>
      </c>
    </row>
    <row r="129" spans="1:6" x14ac:dyDescent="0.25">
      <c r="A129" s="2">
        <v>43343</v>
      </c>
      <c r="B129">
        <v>1.2503190122196429E-2</v>
      </c>
      <c r="C129">
        <v>4.4672310375973388E-3</v>
      </c>
      <c r="D129">
        <f t="shared" si="3"/>
        <v>8.0359590845990904E-3</v>
      </c>
      <c r="E129">
        <f t="shared" si="4"/>
        <v>1.5599095871457553</v>
      </c>
      <c r="F129">
        <f t="shared" si="5"/>
        <v>1.4328443226498628</v>
      </c>
    </row>
    <row r="130" spans="1:6" x14ac:dyDescent="0.25">
      <c r="A130" s="2">
        <v>43371</v>
      </c>
      <c r="B130">
        <v>-4.8250329830821174E-3</v>
      </c>
      <c r="C130">
        <v>-2.9713238294131342E-3</v>
      </c>
      <c r="D130">
        <f t="shared" ref="D130:D193" si="6">B130-C130</f>
        <v>-1.8537091536689832E-3</v>
      </c>
      <c r="E130">
        <f t="shared" si="4"/>
        <v>1.5523829719371511</v>
      </c>
      <c r="F130">
        <f t="shared" si="5"/>
        <v>1.4285868781701341</v>
      </c>
    </row>
    <row r="131" spans="1:6" x14ac:dyDescent="0.25">
      <c r="A131" s="2">
        <v>43404</v>
      </c>
      <c r="B131">
        <v>-3.8824256961576382E-2</v>
      </c>
      <c r="C131">
        <v>-4.4418435172746552E-2</v>
      </c>
      <c r="D131">
        <f t="shared" si="6"/>
        <v>5.5941782111701699E-3</v>
      </c>
      <c r="E131">
        <f t="shared" ref="E131:E194" si="7">E130*(1+B131)</f>
        <v>1.4921128565318875</v>
      </c>
      <c r="F131">
        <f t="shared" ref="F131:F194" si="8">F130*(1+C131)</f>
        <v>1.3651312845334975</v>
      </c>
    </row>
    <row r="132" spans="1:6" x14ac:dyDescent="0.25">
      <c r="A132" s="2">
        <v>43434</v>
      </c>
      <c r="B132">
        <v>9.2084883453887462E-3</v>
      </c>
      <c r="C132">
        <v>8.2425335002480997E-3</v>
      </c>
      <c r="D132">
        <f t="shared" si="6"/>
        <v>9.6595484514064647E-4</v>
      </c>
      <c r="E132">
        <f t="shared" si="7"/>
        <v>1.505852960381266</v>
      </c>
      <c r="F132">
        <f t="shared" si="8"/>
        <v>1.3763834248785016</v>
      </c>
    </row>
    <row r="133" spans="1:6" x14ac:dyDescent="0.25">
      <c r="A133" s="2">
        <v>43465</v>
      </c>
      <c r="B133">
        <v>-2.484749887445387E-2</v>
      </c>
      <c r="C133">
        <v>-2.5276813960133229E-2</v>
      </c>
      <c r="D133">
        <f t="shared" si="6"/>
        <v>4.29315085679359E-4</v>
      </c>
      <c r="E133">
        <f t="shared" si="7"/>
        <v>1.4684362806430995</v>
      </c>
      <c r="F133">
        <f t="shared" si="8"/>
        <v>1.3415928371100367</v>
      </c>
    </row>
    <row r="134" spans="1:6" x14ac:dyDescent="0.25">
      <c r="A134" s="2">
        <v>43496</v>
      </c>
      <c r="B134">
        <v>4.222020027196146E-2</v>
      </c>
      <c r="C134">
        <v>4.6169063317384691E-2</v>
      </c>
      <c r="D134">
        <f t="shared" si="6"/>
        <v>-3.9488630454232315E-3</v>
      </c>
      <c r="E134">
        <f t="shared" si="7"/>
        <v>1.5304339544984653</v>
      </c>
      <c r="F134">
        <f t="shared" si="8"/>
        <v>1.4035329217527199</v>
      </c>
    </row>
    <row r="135" spans="1:6" x14ac:dyDescent="0.25">
      <c r="A135" s="2">
        <v>43524</v>
      </c>
      <c r="B135">
        <v>1.075625245549809E-2</v>
      </c>
      <c r="C135">
        <v>1.0189710574905621E-2</v>
      </c>
      <c r="D135">
        <f t="shared" si="6"/>
        <v>5.66541880592469E-4</v>
      </c>
      <c r="E135">
        <f t="shared" si="7"/>
        <v>1.5468956884795171</v>
      </c>
      <c r="F135">
        <f t="shared" si="8"/>
        <v>1.4178345160077317</v>
      </c>
    </row>
    <row r="136" spans="1:6" x14ac:dyDescent="0.25">
      <c r="A136" s="2">
        <v>43553</v>
      </c>
      <c r="B136">
        <v>1.344502498355791E-2</v>
      </c>
      <c r="C136">
        <v>1.1508225177939471E-2</v>
      </c>
      <c r="D136">
        <f t="shared" si="6"/>
        <v>1.9367998056184395E-3</v>
      </c>
      <c r="E136">
        <f t="shared" si="7"/>
        <v>1.5676937396580821</v>
      </c>
      <c r="F136">
        <f t="shared" si="8"/>
        <v>1.4341512748830034</v>
      </c>
    </row>
    <row r="137" spans="1:6" x14ac:dyDescent="0.25">
      <c r="A137" s="2">
        <v>43585</v>
      </c>
      <c r="B137">
        <v>1.2948116857299401E-2</v>
      </c>
      <c r="C137">
        <v>1.382522937048644E-2</v>
      </c>
      <c r="D137">
        <f t="shared" si="6"/>
        <v>-8.7711251318703908E-4</v>
      </c>
      <c r="E137">
        <f t="shared" si="7"/>
        <v>1.5879924213956316</v>
      </c>
      <c r="F137">
        <f t="shared" si="8"/>
        <v>1.4539787452102364</v>
      </c>
    </row>
    <row r="138" spans="1:6" x14ac:dyDescent="0.25">
      <c r="A138" s="2">
        <v>43616</v>
      </c>
      <c r="B138">
        <v>-1.6021046322640849E-2</v>
      </c>
      <c r="C138">
        <v>-2.059273724674417E-2</v>
      </c>
      <c r="D138">
        <f t="shared" si="6"/>
        <v>4.5716909241033214E-3</v>
      </c>
      <c r="E138">
        <f t="shared" si="7"/>
        <v>1.5625511212524494</v>
      </c>
      <c r="F138">
        <f t="shared" si="8"/>
        <v>1.4240373429477713</v>
      </c>
    </row>
    <row r="139" spans="1:6" x14ac:dyDescent="0.25">
      <c r="A139" s="2">
        <v>43644</v>
      </c>
      <c r="B139">
        <v>3.8711824317201833E-2</v>
      </c>
      <c r="C139">
        <v>4.144938006174919E-2</v>
      </c>
      <c r="D139">
        <f t="shared" si="6"/>
        <v>-2.737555744547357E-3</v>
      </c>
      <c r="E139">
        <f t="shared" si="7"/>
        <v>1.623040325745021</v>
      </c>
      <c r="F139">
        <f t="shared" si="8"/>
        <v>1.483062807997737</v>
      </c>
    </row>
    <row r="140" spans="1:6" x14ac:dyDescent="0.25">
      <c r="A140" s="2">
        <v>43677</v>
      </c>
      <c r="B140">
        <v>3.24683202201786E-3</v>
      </c>
      <c r="C140">
        <v>-5.7222347993844402E-5</v>
      </c>
      <c r="D140">
        <f t="shared" si="6"/>
        <v>3.3040543700117043E-3</v>
      </c>
      <c r="E140">
        <f t="shared" si="7"/>
        <v>1.6283100650476761</v>
      </c>
      <c r="F140">
        <f t="shared" si="8"/>
        <v>1.482977943661641</v>
      </c>
    </row>
    <row r="141" spans="1:6" x14ac:dyDescent="0.25">
      <c r="A141" s="2">
        <v>43707</v>
      </c>
      <c r="B141">
        <v>3.7049386757070889E-3</v>
      </c>
      <c r="C141">
        <v>-1.535153092783303E-3</v>
      </c>
      <c r="D141">
        <f t="shared" si="6"/>
        <v>5.2400917684903917E-3</v>
      </c>
      <c r="E141">
        <f t="shared" si="7"/>
        <v>1.6343428539837144</v>
      </c>
      <c r="F141">
        <f t="shared" si="8"/>
        <v>1.4807013454848994</v>
      </c>
    </row>
    <row r="142" spans="1:6" x14ac:dyDescent="0.25">
      <c r="A142" s="2">
        <v>43738</v>
      </c>
      <c r="B142">
        <v>1.163406668604761E-4</v>
      </c>
      <c r="C142">
        <v>4.8968880683576046E-3</v>
      </c>
      <c r="D142">
        <f t="shared" si="6"/>
        <v>-4.7805474014971285E-3</v>
      </c>
      <c r="E142">
        <f t="shared" si="7"/>
        <v>1.6345329945212255</v>
      </c>
      <c r="F142">
        <f t="shared" si="8"/>
        <v>1.4879521742364052</v>
      </c>
    </row>
    <row r="143" spans="1:6" x14ac:dyDescent="0.25">
      <c r="A143" s="2">
        <v>43769</v>
      </c>
      <c r="B143">
        <v>1.339765400435965E-2</v>
      </c>
      <c r="C143">
        <v>1.628644964047327E-2</v>
      </c>
      <c r="D143">
        <f t="shared" si="6"/>
        <v>-2.8887956361136197E-3</v>
      </c>
      <c r="E143">
        <f t="shared" si="7"/>
        <v>1.6564319020405307</v>
      </c>
      <c r="F143">
        <f t="shared" si="8"/>
        <v>1.5121856323895393</v>
      </c>
    </row>
    <row r="144" spans="1:6" x14ac:dyDescent="0.25">
      <c r="A144" s="2">
        <v>43798</v>
      </c>
      <c r="B144">
        <v>9.4736339901643762E-3</v>
      </c>
      <c r="C144">
        <v>7.4137298428525811E-3</v>
      </c>
      <c r="D144">
        <f t="shared" si="6"/>
        <v>2.0599041473117951E-3</v>
      </c>
      <c r="E144">
        <f t="shared" si="7"/>
        <v>1.6721243316100947</v>
      </c>
      <c r="F144">
        <f t="shared" si="8"/>
        <v>1.5233965681403183</v>
      </c>
    </row>
    <row r="145" spans="1:6" x14ac:dyDescent="0.25">
      <c r="A145" s="2">
        <v>43830</v>
      </c>
      <c r="B145">
        <v>1.526482605032219E-2</v>
      </c>
      <c r="C145">
        <v>2.0001300965584799E-2</v>
      </c>
      <c r="D145">
        <f t="shared" si="6"/>
        <v>-4.7364749152626097E-3</v>
      </c>
      <c r="E145">
        <f t="shared" si="7"/>
        <v>1.6976490186666338</v>
      </c>
      <c r="F145">
        <f t="shared" si="8"/>
        <v>1.5538664813896319</v>
      </c>
    </row>
    <row r="146" spans="1:6" x14ac:dyDescent="0.25">
      <c r="A146" s="2">
        <v>43861</v>
      </c>
      <c r="B146">
        <v>7.3904975030892692E-3</v>
      </c>
      <c r="C146">
        <v>2.8227794601300989E-4</v>
      </c>
      <c r="D146">
        <f t="shared" si="6"/>
        <v>7.1082195570762591E-3</v>
      </c>
      <c r="E146">
        <f t="shared" si="7"/>
        <v>1.7101954895002114</v>
      </c>
      <c r="F146">
        <f t="shared" si="8"/>
        <v>1.554305103628377</v>
      </c>
    </row>
    <row r="147" spans="1:6" x14ac:dyDescent="0.25">
      <c r="A147" s="2">
        <v>43889</v>
      </c>
      <c r="B147">
        <v>-2.844899623847157E-2</v>
      </c>
      <c r="C147">
        <v>-3.6725515927728623E-2</v>
      </c>
      <c r="D147">
        <f t="shared" si="6"/>
        <v>8.2765196892570538E-3</v>
      </c>
      <c r="E147">
        <f t="shared" si="7"/>
        <v>1.6615421444523688</v>
      </c>
      <c r="F147">
        <f t="shared" si="8"/>
        <v>1.4972224467885231</v>
      </c>
    </row>
    <row r="148" spans="1:6" x14ac:dyDescent="0.25">
      <c r="A148" s="2">
        <v>43921</v>
      </c>
      <c r="B148">
        <v>-6.9925642542323738E-2</v>
      </c>
      <c r="C148">
        <v>-8.4154730996365529E-2</v>
      </c>
      <c r="D148">
        <f t="shared" si="6"/>
        <v>1.4229088454041791E-2</v>
      </c>
      <c r="E148">
        <f t="shared" si="7"/>
        <v>1.5453577423903866</v>
      </c>
      <c r="F148">
        <f t="shared" si="8"/>
        <v>1.3712240945373149</v>
      </c>
    </row>
    <row r="149" spans="1:6" x14ac:dyDescent="0.25">
      <c r="A149" s="2">
        <v>43951</v>
      </c>
      <c r="B149">
        <v>6.1736944743880501E-2</v>
      </c>
      <c r="C149">
        <v>6.2980415515282079E-2</v>
      </c>
      <c r="D149">
        <f t="shared" si="6"/>
        <v>-1.243470771401578E-3</v>
      </c>
      <c r="E149">
        <f t="shared" si="7"/>
        <v>1.6407634079418698</v>
      </c>
      <c r="F149">
        <f t="shared" si="8"/>
        <v>1.4575843577758412</v>
      </c>
    </row>
    <row r="150" spans="1:6" x14ac:dyDescent="0.25">
      <c r="A150" s="2">
        <v>43980</v>
      </c>
      <c r="B150">
        <v>2.5822640291201002E-2</v>
      </c>
      <c r="C150">
        <v>2.5109670299500592E-2</v>
      </c>
      <c r="D150">
        <f t="shared" si="6"/>
        <v>7.1296999170041009E-4</v>
      </c>
      <c r="E150">
        <f t="shared" si="7"/>
        <v>1.6831322512281177</v>
      </c>
      <c r="F150">
        <f t="shared" si="8"/>
        <v>1.4941838204333018</v>
      </c>
    </row>
    <row r="151" spans="1:6" x14ac:dyDescent="0.25">
      <c r="A151" s="2">
        <v>44012</v>
      </c>
      <c r="B151">
        <v>1.762973818219353E-2</v>
      </c>
      <c r="C151">
        <v>1.9641642691669431E-2</v>
      </c>
      <c r="D151">
        <f t="shared" si="6"/>
        <v>-2.0119045094759008E-3</v>
      </c>
      <c r="E151">
        <f t="shared" si="7"/>
        <v>1.7128054321432753</v>
      </c>
      <c r="F151">
        <f t="shared" si="8"/>
        <v>1.5235320451499264</v>
      </c>
    </row>
    <row r="152" spans="1:6" x14ac:dyDescent="0.25">
      <c r="A152" s="2">
        <v>44043</v>
      </c>
      <c r="B152">
        <v>4.2252229131263599E-2</v>
      </c>
      <c r="C152">
        <v>4.1814013170001517E-2</v>
      </c>
      <c r="D152">
        <f t="shared" si="6"/>
        <v>4.3821596126208257E-4</v>
      </c>
      <c r="E152">
        <f t="shared" si="7"/>
        <v>1.785175279719466</v>
      </c>
      <c r="F152">
        <f t="shared" si="8"/>
        <v>1.5872370341507447</v>
      </c>
    </row>
    <row r="153" spans="1:6" x14ac:dyDescent="0.25">
      <c r="A153" s="2">
        <v>44074</v>
      </c>
      <c r="B153">
        <v>2.683013338918433E-2</v>
      </c>
      <c r="C153">
        <v>2.870499287543752E-2</v>
      </c>
      <c r="D153">
        <f t="shared" si="6"/>
        <v>-1.87485948625319E-3</v>
      </c>
      <c r="E153">
        <f t="shared" si="7"/>
        <v>1.8330717705974136</v>
      </c>
      <c r="F153">
        <f t="shared" si="8"/>
        <v>1.6327986619076724</v>
      </c>
    </row>
    <row r="154" spans="1:6" x14ac:dyDescent="0.25">
      <c r="A154" s="2">
        <v>44104</v>
      </c>
      <c r="B154">
        <v>-1.534936907031033E-2</v>
      </c>
      <c r="C154">
        <v>-1.6979207356128938E-2</v>
      </c>
      <c r="D154">
        <f t="shared" si="6"/>
        <v>1.6298382858186081E-3</v>
      </c>
      <c r="E154">
        <f t="shared" si="7"/>
        <v>1.8049352754581465</v>
      </c>
      <c r="F154">
        <f t="shared" si="8"/>
        <v>1.6050750348563323</v>
      </c>
    </row>
    <row r="155" spans="1:6" x14ac:dyDescent="0.25">
      <c r="A155" s="2">
        <v>44134</v>
      </c>
      <c r="B155">
        <v>-9.8484152060692495E-3</v>
      </c>
      <c r="C155">
        <v>-1.0359610669269921E-2</v>
      </c>
      <c r="D155">
        <f t="shared" si="6"/>
        <v>5.1119546320067127E-4</v>
      </c>
      <c r="E155">
        <f t="shared" si="7"/>
        <v>1.7871595234453537</v>
      </c>
      <c r="F155">
        <f t="shared" si="8"/>
        <v>1.5884470824002559</v>
      </c>
    </row>
    <row r="156" spans="1:6" x14ac:dyDescent="0.25">
      <c r="A156" s="2">
        <v>44165</v>
      </c>
      <c r="B156">
        <v>6.1524420203759908E-2</v>
      </c>
      <c r="C156">
        <v>7.2695114554018045E-2</v>
      </c>
      <c r="D156">
        <f t="shared" si="6"/>
        <v>-1.1170694350258137E-2</v>
      </c>
      <c r="E156">
        <f t="shared" si="7"/>
        <v>1.8971134769369569</v>
      </c>
      <c r="F156">
        <f t="shared" si="8"/>
        <v>1.7039194250183383</v>
      </c>
    </row>
    <row r="157" spans="1:6" x14ac:dyDescent="0.25">
      <c r="A157" s="2">
        <v>44196</v>
      </c>
      <c r="B157">
        <v>2.7583312458997759E-2</v>
      </c>
      <c r="C157">
        <v>3.1222126139705271E-2</v>
      </c>
      <c r="D157">
        <f t="shared" si="6"/>
        <v>-3.6388136807075123E-3</v>
      </c>
      <c r="E157">
        <f t="shared" si="7"/>
        <v>1.9494421507414845</v>
      </c>
      <c r="F157">
        <f t="shared" si="8"/>
        <v>1.7571194122381548</v>
      </c>
    </row>
    <row r="158" spans="1:6" x14ac:dyDescent="0.25">
      <c r="A158" s="2">
        <v>44225</v>
      </c>
      <c r="B158">
        <v>-6.5200951929329362E-3</v>
      </c>
      <c r="C158">
        <v>-5.2363277923006277E-3</v>
      </c>
      <c r="D158">
        <f t="shared" si="6"/>
        <v>-1.2837674006323085E-3</v>
      </c>
      <c r="E158">
        <f t="shared" si="7"/>
        <v>1.9367316023455341</v>
      </c>
      <c r="F158">
        <f t="shared" si="8"/>
        <v>1.7479185590254611</v>
      </c>
    </row>
    <row r="159" spans="1:6" x14ac:dyDescent="0.25">
      <c r="A159" s="2">
        <v>44253</v>
      </c>
      <c r="B159">
        <v>-1.0444831093760309E-3</v>
      </c>
      <c r="C159">
        <v>4.3180212452980978E-3</v>
      </c>
      <c r="D159">
        <f t="shared" si="6"/>
        <v>-5.3625043546741292E-3</v>
      </c>
      <c r="E159">
        <f t="shared" si="7"/>
        <v>1.9347087188994896</v>
      </c>
      <c r="F159">
        <f t="shared" si="8"/>
        <v>1.7554661084983838</v>
      </c>
    </row>
    <row r="160" spans="1:6" x14ac:dyDescent="0.25">
      <c r="A160" s="2">
        <v>44286</v>
      </c>
      <c r="B160">
        <v>7.8907579945400666E-4</v>
      </c>
      <c r="C160">
        <v>3.169319285683135E-3</v>
      </c>
      <c r="D160">
        <f t="shared" si="6"/>
        <v>-2.3802434862291283E-3</v>
      </c>
      <c r="E160">
        <f t="shared" si="7"/>
        <v>1.9362353507285657</v>
      </c>
      <c r="F160">
        <f t="shared" si="8"/>
        <v>1.7610297410914111</v>
      </c>
    </row>
    <row r="161" spans="1:6" x14ac:dyDescent="0.25">
      <c r="A161" s="2">
        <v>44316</v>
      </c>
      <c r="B161">
        <v>2.659502956949673E-2</v>
      </c>
      <c r="C161">
        <v>2.769065189993869E-2</v>
      </c>
      <c r="D161">
        <f t="shared" si="6"/>
        <v>-1.0956223304419595E-3</v>
      </c>
      <c r="E161">
        <f t="shared" si="7"/>
        <v>1.9877295871346969</v>
      </c>
      <c r="F161">
        <f t="shared" si="8"/>
        <v>1.8097938026374125</v>
      </c>
    </row>
    <row r="162" spans="1:6" x14ac:dyDescent="0.25">
      <c r="A162" s="2">
        <v>44344</v>
      </c>
      <c r="B162">
        <v>9.2871554840337593E-3</v>
      </c>
      <c r="C162">
        <v>1.1613536322274191E-2</v>
      </c>
      <c r="D162">
        <f t="shared" si="6"/>
        <v>-2.3263808382404313E-3</v>
      </c>
      <c r="E162">
        <f t="shared" si="7"/>
        <v>2.0061899408706312</v>
      </c>
      <c r="F162">
        <f t="shared" si="8"/>
        <v>1.8308119087001689</v>
      </c>
    </row>
    <row r="163" spans="1:6" x14ac:dyDescent="0.25">
      <c r="A163" s="2">
        <v>44377</v>
      </c>
      <c r="B163">
        <v>3.7263088209937012E-3</v>
      </c>
      <c r="C163">
        <v>2.1216651409669868E-3</v>
      </c>
      <c r="D163">
        <f t="shared" si="6"/>
        <v>1.6046436800267144E-3</v>
      </c>
      <c r="E163">
        <f t="shared" si="7"/>
        <v>2.0136656241438864</v>
      </c>
      <c r="F163">
        <f t="shared" si="8"/>
        <v>1.8346962785065253</v>
      </c>
    </row>
    <row r="164" spans="1:6" x14ac:dyDescent="0.25">
      <c r="A164" s="2">
        <v>44407</v>
      </c>
      <c r="B164">
        <v>1.355262832483178E-2</v>
      </c>
      <c r="C164">
        <v>9.2670973715117382E-3</v>
      </c>
      <c r="D164">
        <f t="shared" si="6"/>
        <v>4.2855309533200419E-3</v>
      </c>
      <c r="E164">
        <f t="shared" si="7"/>
        <v>2.0409560859183986</v>
      </c>
      <c r="F164">
        <f t="shared" si="8"/>
        <v>1.8516985875665952</v>
      </c>
    </row>
    <row r="165" spans="1:6" x14ac:dyDescent="0.25">
      <c r="A165" s="2">
        <v>44439</v>
      </c>
      <c r="B165">
        <v>7.8562186681302125E-3</v>
      </c>
      <c r="C165">
        <v>9.7167830516185494E-3</v>
      </c>
      <c r="D165">
        <f t="shared" si="6"/>
        <v>-1.8605643834883369E-3</v>
      </c>
      <c r="E165">
        <f t="shared" si="7"/>
        <v>2.0569902832214244</v>
      </c>
      <c r="F165">
        <f t="shared" si="8"/>
        <v>1.8696911410189683</v>
      </c>
    </row>
    <row r="166" spans="1:6" x14ac:dyDescent="0.25">
      <c r="A166" s="2">
        <v>44469</v>
      </c>
      <c r="B166">
        <v>-2.772543186362373E-2</v>
      </c>
      <c r="C166">
        <v>-2.821666390226877E-2</v>
      </c>
      <c r="D166">
        <f t="shared" si="6"/>
        <v>4.9123203864503973E-4</v>
      </c>
      <c r="E166">
        <f t="shared" si="7"/>
        <v>1.9999593392798327</v>
      </c>
      <c r="F166">
        <f t="shared" si="8"/>
        <v>1.8169346944917868</v>
      </c>
    </row>
    <row r="167" spans="1:6" x14ac:dyDescent="0.25">
      <c r="A167" s="2">
        <v>44498</v>
      </c>
      <c r="B167">
        <v>2.2430487064632441E-2</v>
      </c>
      <c r="C167">
        <v>2.226738886697088E-2</v>
      </c>
      <c r="D167">
        <f t="shared" si="6"/>
        <v>1.6309819766156114E-4</v>
      </c>
      <c r="E167">
        <f t="shared" si="7"/>
        <v>2.0448194013693395</v>
      </c>
      <c r="F167">
        <f t="shared" si="8"/>
        <v>1.8573930858799264</v>
      </c>
    </row>
    <row r="168" spans="1:6" x14ac:dyDescent="0.25">
      <c r="A168" s="2">
        <v>44530</v>
      </c>
      <c r="B168">
        <v>-1.0219070896425521E-2</v>
      </c>
      <c r="C168">
        <v>-1.546550678258519E-2</v>
      </c>
      <c r="D168">
        <f t="shared" si="6"/>
        <v>5.2464358861596689E-3</v>
      </c>
      <c r="E168">
        <f t="shared" si="7"/>
        <v>2.0239232469363597</v>
      </c>
      <c r="F168">
        <f t="shared" si="8"/>
        <v>1.8286675605123235</v>
      </c>
    </row>
    <row r="169" spans="1:6" x14ac:dyDescent="0.25">
      <c r="A169" s="2">
        <v>44561</v>
      </c>
      <c r="B169">
        <v>1.478904743114795E-2</v>
      </c>
      <c r="C169">
        <v>1.910616239295675E-2</v>
      </c>
      <c r="D169">
        <f t="shared" si="6"/>
        <v>-4.3171149618087996E-3</v>
      </c>
      <c r="E169">
        <f t="shared" si="7"/>
        <v>2.0538551438323043</v>
      </c>
      <c r="F169">
        <f t="shared" si="8"/>
        <v>1.8636063798862039</v>
      </c>
    </row>
    <row r="170" spans="1:6" x14ac:dyDescent="0.25">
      <c r="A170" s="2">
        <v>44592</v>
      </c>
      <c r="B170">
        <v>-3.6688839647928788E-2</v>
      </c>
      <c r="C170">
        <v>-3.6847888082257051E-2</v>
      </c>
      <c r="D170">
        <f t="shared" si="6"/>
        <v>1.5904843432826277E-4</v>
      </c>
      <c r="E170">
        <f t="shared" si="7"/>
        <v>1.9785015818001672</v>
      </c>
      <c r="F170">
        <f t="shared" si="8"/>
        <v>1.794936420570777</v>
      </c>
    </row>
    <row r="171" spans="1:6" x14ac:dyDescent="0.25">
      <c r="A171" s="2">
        <v>44620</v>
      </c>
      <c r="B171">
        <v>-1.661569229631801E-2</v>
      </c>
      <c r="C171">
        <v>-1.7112028450986298E-2</v>
      </c>
      <c r="D171">
        <f t="shared" si="6"/>
        <v>4.9633615466828859E-4</v>
      </c>
      <c r="E171">
        <f t="shared" si="7"/>
        <v>1.9456274083091973</v>
      </c>
      <c r="F171">
        <f t="shared" si="8"/>
        <v>1.7642214174742583</v>
      </c>
    </row>
    <row r="172" spans="1:6" x14ac:dyDescent="0.25">
      <c r="A172" s="2">
        <v>44651</v>
      </c>
      <c r="B172">
        <v>-5.5361261248627908E-3</v>
      </c>
      <c r="C172">
        <v>-3.1915090447828922E-3</v>
      </c>
      <c r="D172">
        <f t="shared" si="6"/>
        <v>-2.3446170800798987E-3</v>
      </c>
      <c r="E172">
        <f t="shared" si="7"/>
        <v>1.9348561695848077</v>
      </c>
      <c r="F172">
        <f t="shared" si="8"/>
        <v>1.7585908888633894</v>
      </c>
    </row>
    <row r="173" spans="1:6" x14ac:dyDescent="0.25">
      <c r="A173" s="2">
        <v>44680</v>
      </c>
      <c r="B173">
        <v>-6.7562638712063749E-2</v>
      </c>
      <c r="C173">
        <v>-6.8055489941266145E-2</v>
      </c>
      <c r="D173">
        <f t="shared" si="6"/>
        <v>4.9285122920239566E-4</v>
      </c>
      <c r="E173">
        <f t="shared" si="7"/>
        <v>1.8041321812393416</v>
      </c>
      <c r="F173">
        <f t="shared" si="8"/>
        <v>1.6389091243155447</v>
      </c>
    </row>
    <row r="174" spans="1:6" x14ac:dyDescent="0.25">
      <c r="A174" s="2">
        <v>44712</v>
      </c>
      <c r="B174">
        <v>-5.572191600701033E-4</v>
      </c>
      <c r="C174">
        <v>4.2885044081669423E-4</v>
      </c>
      <c r="D174">
        <f t="shared" si="6"/>
        <v>-9.8606960088679758E-4</v>
      </c>
      <c r="E174">
        <f t="shared" si="7"/>
        <v>1.803126884220656</v>
      </c>
      <c r="F174">
        <f t="shared" si="8"/>
        <v>1.639611971215966</v>
      </c>
    </row>
    <row r="175" spans="1:6" x14ac:dyDescent="0.25">
      <c r="A175" s="2">
        <v>44742</v>
      </c>
      <c r="B175">
        <v>-5.5505836222679933E-2</v>
      </c>
      <c r="C175">
        <v>-6.1390105886114467E-2</v>
      </c>
      <c r="D175">
        <f t="shared" si="6"/>
        <v>5.884269663434534E-3</v>
      </c>
      <c r="E175">
        <f t="shared" si="7"/>
        <v>1.7030428186963933</v>
      </c>
      <c r="F175">
        <f t="shared" si="8"/>
        <v>1.5389560186908771</v>
      </c>
    </row>
    <row r="176" spans="1:6" x14ac:dyDescent="0.25">
      <c r="A176" s="2">
        <v>44771</v>
      </c>
      <c r="B176">
        <v>4.9013160848408822E-2</v>
      </c>
      <c r="C176">
        <v>4.8917638550388998E-2</v>
      </c>
      <c r="D176">
        <f t="shared" si="6"/>
        <v>9.5522298019824758E-5</v>
      </c>
      <c r="E176">
        <f t="shared" si="7"/>
        <v>1.786514330300887</v>
      </c>
      <c r="F176">
        <f t="shared" si="8"/>
        <v>1.6142381129581429</v>
      </c>
    </row>
    <row r="177" spans="1:6" x14ac:dyDescent="0.25">
      <c r="A177" s="2">
        <v>44804</v>
      </c>
      <c r="B177">
        <v>-4.0607501725364682E-2</v>
      </c>
      <c r="C177">
        <v>-3.7621112140126062E-2</v>
      </c>
      <c r="D177">
        <f t="shared" si="6"/>
        <v>-2.9863895852386205E-3</v>
      </c>
      <c r="E177">
        <f t="shared" si="7"/>
        <v>1.7139684465508052</v>
      </c>
      <c r="F177">
        <f t="shared" si="8"/>
        <v>1.5535086798896791</v>
      </c>
    </row>
    <row r="178" spans="1:6" x14ac:dyDescent="0.25">
      <c r="A178" s="2">
        <v>44834</v>
      </c>
      <c r="B178">
        <v>-7.1178950270110661E-2</v>
      </c>
      <c r="C178">
        <v>-7.560823971467362E-2</v>
      </c>
      <c r="D178">
        <f t="shared" si="6"/>
        <v>4.4292894445629588E-3</v>
      </c>
      <c r="E178">
        <f t="shared" si="7"/>
        <v>1.5919699717292266</v>
      </c>
      <c r="F178">
        <f t="shared" si="8"/>
        <v>1.4360506232217543</v>
      </c>
    </row>
    <row r="179" spans="1:6" x14ac:dyDescent="0.25">
      <c r="A179" s="2">
        <v>44865</v>
      </c>
      <c r="B179">
        <v>2.6070716178419572E-2</v>
      </c>
      <c r="C179">
        <v>2.956385196498286E-2</v>
      </c>
      <c r="D179">
        <f t="shared" si="6"/>
        <v>-3.4931357865632881E-3</v>
      </c>
      <c r="E179">
        <f t="shared" si="7"/>
        <v>1.6334737690267458</v>
      </c>
      <c r="F179">
        <f t="shared" si="8"/>
        <v>1.4785058112609035</v>
      </c>
    </row>
    <row r="180" spans="1:6" x14ac:dyDescent="0.25">
      <c r="A180" s="2">
        <v>44895</v>
      </c>
      <c r="B180">
        <v>5.7656255733889369E-2</v>
      </c>
      <c r="C180">
        <v>6.3143162044397128E-2</v>
      </c>
      <c r="D180">
        <f t="shared" si="6"/>
        <v>-5.4869063105077581E-3</v>
      </c>
      <c r="E180">
        <f t="shared" si="7"/>
        <v>1.727653750388352</v>
      </c>
      <c r="F180">
        <f t="shared" si="8"/>
        <v>1.5718633432849336</v>
      </c>
    </row>
    <row r="181" spans="1:6" x14ac:dyDescent="0.25">
      <c r="A181" s="2">
        <v>44925</v>
      </c>
      <c r="B181">
        <v>-1.7343358956933862E-2</v>
      </c>
      <c r="C181">
        <v>-1.763772709127169E-2</v>
      </c>
      <c r="D181">
        <f t="shared" si="6"/>
        <v>2.9436813433782877E-4</v>
      </c>
      <c r="E181">
        <f t="shared" si="7"/>
        <v>1.6976904312420737</v>
      </c>
      <c r="F181">
        <f t="shared" si="8"/>
        <v>1.5441392466113002</v>
      </c>
    </row>
    <row r="182" spans="1:6" x14ac:dyDescent="0.25">
      <c r="A182" s="2">
        <v>44957</v>
      </c>
      <c r="B182">
        <v>4.8886790418774077E-2</v>
      </c>
      <c r="C182">
        <v>5.3288456512671938E-2</v>
      </c>
      <c r="D182">
        <f t="shared" si="6"/>
        <v>-4.4016660938978602E-3</v>
      </c>
      <c r="E182">
        <f t="shared" si="7"/>
        <v>1.7806850675501631</v>
      </c>
      <c r="F182">
        <f t="shared" si="8"/>
        <v>1.6264240437038564</v>
      </c>
    </row>
    <row r="183" spans="1:6" x14ac:dyDescent="0.25">
      <c r="A183" s="2">
        <v>44985</v>
      </c>
      <c r="B183">
        <v>-3.011930404990934E-2</v>
      </c>
      <c r="C183">
        <v>-3.0347893606372869E-2</v>
      </c>
      <c r="D183">
        <f t="shared" si="6"/>
        <v>2.285895564635293E-4</v>
      </c>
      <c r="E183">
        <f t="shared" si="7"/>
        <v>1.7270520725834864</v>
      </c>
      <c r="F183">
        <f t="shared" si="8"/>
        <v>1.5770654998666849</v>
      </c>
    </row>
    <row r="184" spans="1:6" x14ac:dyDescent="0.25">
      <c r="A184" s="2">
        <v>45016</v>
      </c>
      <c r="B184">
        <v>3.1666458441910142E-2</v>
      </c>
      <c r="C184">
        <v>2.786395812340051E-2</v>
      </c>
      <c r="D184">
        <f t="shared" si="6"/>
        <v>3.8025003185096322E-3</v>
      </c>
      <c r="E184">
        <f t="shared" si="7"/>
        <v>1.7817416952669662</v>
      </c>
      <c r="F184">
        <f t="shared" si="8"/>
        <v>1.62100878691283</v>
      </c>
    </row>
    <row r="185" spans="1:6" x14ac:dyDescent="0.25">
      <c r="A185" s="2">
        <v>45044</v>
      </c>
      <c r="B185">
        <v>7.8846188193469925E-3</v>
      </c>
      <c r="C185">
        <v>8.5333351604109115E-3</v>
      </c>
      <c r="D185">
        <f t="shared" si="6"/>
        <v>-6.48716341063919E-4</v>
      </c>
      <c r="E185">
        <f t="shared" si="7"/>
        <v>1.7957900493686836</v>
      </c>
      <c r="F185">
        <f t="shared" si="8"/>
        <v>1.6348413981895282</v>
      </c>
    </row>
    <row r="186" spans="1:6" x14ac:dyDescent="0.25">
      <c r="A186" s="2">
        <v>45077</v>
      </c>
      <c r="B186">
        <v>-1.528194930249714E-2</v>
      </c>
      <c r="C186">
        <v>-1.6692069210826541E-2</v>
      </c>
      <c r="D186">
        <f t="shared" si="6"/>
        <v>1.4101199083294009E-3</v>
      </c>
      <c r="E186">
        <f t="shared" si="7"/>
        <v>1.7683468768763024</v>
      </c>
      <c r="F186">
        <f t="shared" si="8"/>
        <v>1.6075525124222241</v>
      </c>
    </row>
    <row r="187" spans="1:6" x14ac:dyDescent="0.25">
      <c r="A187" s="2">
        <v>45107</v>
      </c>
      <c r="B187">
        <v>2.5249298551730161E-2</v>
      </c>
      <c r="C187">
        <v>2.9976326411554521E-2</v>
      </c>
      <c r="D187">
        <f t="shared" si="6"/>
        <v>-4.7270278598243592E-3</v>
      </c>
      <c r="E187">
        <f t="shared" si="7"/>
        <v>1.8129963951135717</v>
      </c>
      <c r="F187">
        <f t="shared" si="8"/>
        <v>1.6557410312583072</v>
      </c>
    </row>
    <row r="188" spans="1:6" x14ac:dyDescent="0.25">
      <c r="A188" s="2">
        <v>45138</v>
      </c>
      <c r="B188">
        <v>1.8197428385015771E-2</v>
      </c>
      <c r="C188">
        <v>2.3011988660955229E-2</v>
      </c>
      <c r="D188">
        <f t="shared" si="6"/>
        <v>-4.8145602759394578E-3</v>
      </c>
      <c r="E188">
        <f t="shared" si="7"/>
        <v>1.8459882671759424</v>
      </c>
      <c r="F188">
        <f t="shared" si="8"/>
        <v>1.6938429250951017</v>
      </c>
    </row>
    <row r="189" spans="1:6" x14ac:dyDescent="0.25">
      <c r="A189" s="2">
        <v>45169</v>
      </c>
      <c r="B189">
        <v>-1.910121555452236E-2</v>
      </c>
      <c r="C189">
        <v>-2.1584725576876251E-2</v>
      </c>
      <c r="D189">
        <f t="shared" si="6"/>
        <v>2.4835100223538908E-3</v>
      </c>
      <c r="E189">
        <f t="shared" si="7"/>
        <v>1.8107276473734955</v>
      </c>
      <c r="F189">
        <f t="shared" si="8"/>
        <v>1.6572817903865904</v>
      </c>
    </row>
    <row r="190" spans="1:6" x14ac:dyDescent="0.25">
      <c r="A190" s="2">
        <v>45198</v>
      </c>
      <c r="B190">
        <v>-3.5518385190193909E-2</v>
      </c>
      <c r="C190">
        <v>-3.5305496157722487E-2</v>
      </c>
      <c r="D190">
        <f t="shared" si="6"/>
        <v>-2.1288903247142221E-4</v>
      </c>
      <c r="E190">
        <f t="shared" si="7"/>
        <v>1.7464135253195501</v>
      </c>
      <c r="F190">
        <f t="shared" si="8"/>
        <v>1.5987706345038333</v>
      </c>
    </row>
    <row r="191" spans="1:6" x14ac:dyDescent="0.25">
      <c r="A191" s="2">
        <v>45230</v>
      </c>
      <c r="B191">
        <v>-1.9213301780327121E-2</v>
      </c>
      <c r="C191">
        <v>-2.2895805963779631E-2</v>
      </c>
      <c r="D191">
        <f t="shared" si="6"/>
        <v>3.6825041834525098E-3</v>
      </c>
      <c r="E191">
        <f t="shared" si="7"/>
        <v>1.7128591552243406</v>
      </c>
      <c r="F191">
        <f t="shared" si="8"/>
        <v>1.5621654922756447</v>
      </c>
    </row>
    <row r="192" spans="1:6" x14ac:dyDescent="0.25">
      <c r="A192" s="2">
        <v>45260</v>
      </c>
      <c r="B192">
        <v>6.8196944920356439E-2</v>
      </c>
      <c r="C192">
        <v>7.12899187665611E-2</v>
      </c>
      <c r="D192">
        <f t="shared" si="6"/>
        <v>-3.0929738462046608E-3</v>
      </c>
      <c r="E192">
        <f t="shared" si="7"/>
        <v>1.8296709166895033</v>
      </c>
      <c r="F192">
        <f t="shared" si="8"/>
        <v>1.6735321433199006</v>
      </c>
    </row>
    <row r="193" spans="1:6" x14ac:dyDescent="0.25">
      <c r="A193" s="2">
        <v>45289</v>
      </c>
      <c r="B193">
        <v>4.4866173538941748E-2</v>
      </c>
      <c r="C193">
        <v>4.7478208245609568E-2</v>
      </c>
      <c r="D193">
        <f t="shared" si="6"/>
        <v>-2.6120347066678207E-3</v>
      </c>
      <c r="E193">
        <f t="shared" si="7"/>
        <v>1.9117612495568492</v>
      </c>
      <c r="F193">
        <f t="shared" si="8"/>
        <v>1.7529884509261642</v>
      </c>
    </row>
    <row r="194" spans="1:6" x14ac:dyDescent="0.25">
      <c r="A194" s="2">
        <v>45322</v>
      </c>
      <c r="B194">
        <v>-4.9545003875263206E-3</v>
      </c>
      <c r="C194">
        <v>-5.342754356233808E-3</v>
      </c>
      <c r="D194">
        <f t="shared" ref="D194:D257" si="9">B194-C194</f>
        <v>3.8825396870748735E-4</v>
      </c>
      <c r="E194">
        <f t="shared" si="7"/>
        <v>1.9022894277050619</v>
      </c>
      <c r="F194">
        <f t="shared" si="8"/>
        <v>1.7436226642435508</v>
      </c>
    </row>
    <row r="195" spans="1:6" x14ac:dyDescent="0.25">
      <c r="A195" s="2">
        <v>45351</v>
      </c>
      <c r="B195">
        <v>1.4177532737024519E-2</v>
      </c>
      <c r="C195">
        <v>1.635140293768161E-2</v>
      </c>
      <c r="D195">
        <f t="shared" si="9"/>
        <v>-2.1738702006570913E-3</v>
      </c>
      <c r="E195">
        <f t="shared" ref="E195:E217" si="10">E194*(1+B195)</f>
        <v>1.9292591983416463</v>
      </c>
      <c r="F195">
        <f t="shared" ref="F195:F217" si="11">F194*(1+C195)</f>
        <v>1.7721333409978712</v>
      </c>
    </row>
    <row r="196" spans="1:6" x14ac:dyDescent="0.25">
      <c r="A196" s="2">
        <v>45379</v>
      </c>
      <c r="B196">
        <v>1.539285935709986E-2</v>
      </c>
      <c r="C196">
        <v>1.9517380202781289E-2</v>
      </c>
      <c r="D196">
        <f t="shared" si="9"/>
        <v>-4.124520845681429E-3</v>
      </c>
      <c r="E196">
        <f t="shared" si="10"/>
        <v>1.9589560138451103</v>
      </c>
      <c r="F196">
        <f t="shared" si="11"/>
        <v>1.8067207411841517</v>
      </c>
    </row>
    <row r="197" spans="1:6" x14ac:dyDescent="0.25">
      <c r="A197" s="2">
        <v>45412</v>
      </c>
      <c r="B197">
        <v>-3.044247367520719E-2</v>
      </c>
      <c r="C197">
        <v>-2.9434164760246621E-2</v>
      </c>
      <c r="D197">
        <f t="shared" si="9"/>
        <v>-1.0083089149605685E-3</v>
      </c>
      <c r="E197">
        <f t="shared" si="10"/>
        <v>1.8993205469627419</v>
      </c>
      <c r="F197">
        <f t="shared" si="11"/>
        <v>1.7535414252123824</v>
      </c>
    </row>
    <row r="198" spans="1:6" x14ac:dyDescent="0.25">
      <c r="A198" s="2">
        <v>45443</v>
      </c>
      <c r="B198">
        <v>2.5311644824586321E-2</v>
      </c>
      <c r="C198">
        <v>2.7194675792840881E-2</v>
      </c>
      <c r="D198">
        <f t="shared" si="9"/>
        <v>-1.8830309682545607E-3</v>
      </c>
      <c r="E198">
        <f t="shared" si="10"/>
        <v>1.9473954740555017</v>
      </c>
      <c r="F198">
        <f t="shared" si="11"/>
        <v>1.8012284157603495</v>
      </c>
    </row>
    <row r="199" spans="1:6" x14ac:dyDescent="0.25">
      <c r="A199" s="2">
        <v>45471</v>
      </c>
      <c r="B199">
        <v>1.360619759898803E-2</v>
      </c>
      <c r="C199">
        <v>9.7674491260538194E-3</v>
      </c>
      <c r="D199">
        <f t="shared" si="9"/>
        <v>3.8387484729342104E-3</v>
      </c>
      <c r="E199">
        <f t="shared" si="10"/>
        <v>1.9738921216788758</v>
      </c>
      <c r="F199">
        <f t="shared" si="11"/>
        <v>1.8188218226756911</v>
      </c>
    </row>
    <row r="200" spans="1:6" x14ac:dyDescent="0.25">
      <c r="A200" s="2">
        <v>45504</v>
      </c>
      <c r="B200">
        <v>2.1261035931476321E-2</v>
      </c>
      <c r="C200">
        <v>2.4288856010713691E-2</v>
      </c>
      <c r="D200">
        <f t="shared" si="9"/>
        <v>-3.0278200792373706E-3</v>
      </c>
      <c r="E200">
        <f t="shared" si="10"/>
        <v>2.0158591130027483</v>
      </c>
      <c r="F200">
        <f t="shared" si="11"/>
        <v>1.8629989240358049</v>
      </c>
    </row>
    <row r="201" spans="1:6" x14ac:dyDescent="0.25">
      <c r="A201" s="2">
        <v>45534</v>
      </c>
      <c r="B201">
        <v>2.1963694921022559E-2</v>
      </c>
      <c r="C201">
        <v>2.3524997964420969E-2</v>
      </c>
      <c r="D201">
        <f t="shared" si="9"/>
        <v>-1.5613030433984099E-3</v>
      </c>
      <c r="E201">
        <f t="shared" si="10"/>
        <v>2.0601348275645037</v>
      </c>
      <c r="F201">
        <f t="shared" si="11"/>
        <v>1.9068259699314658</v>
      </c>
    </row>
    <row r="202" spans="1:6" x14ac:dyDescent="0.25">
      <c r="A202" s="2">
        <v>45565</v>
      </c>
      <c r="B202">
        <v>1.9276388044829899E-2</v>
      </c>
      <c r="C202">
        <v>2.031003338118921E-2</v>
      </c>
      <c r="D202">
        <f t="shared" si="9"/>
        <v>-1.0336453363593116E-3</v>
      </c>
      <c r="E202">
        <f t="shared" si="10"/>
        <v>2.0998467859253056</v>
      </c>
      <c r="F202">
        <f t="shared" si="11"/>
        <v>1.9455536690328923</v>
      </c>
    </row>
    <row r="203" spans="1:6" x14ac:dyDescent="0.25">
      <c r="A203" s="2">
        <v>45596</v>
      </c>
      <c r="B203">
        <v>-2.5648166484050799E-2</v>
      </c>
      <c r="C203">
        <v>-2.8088814691122042E-2</v>
      </c>
      <c r="D203">
        <f t="shared" si="9"/>
        <v>2.4406482070712422E-3</v>
      </c>
      <c r="E203">
        <f t="shared" si="10"/>
        <v>2.0459895659688945</v>
      </c>
      <c r="F203">
        <f t="shared" si="11"/>
        <v>1.8909053725517948</v>
      </c>
    </row>
    <row r="204" spans="1:6" x14ac:dyDescent="0.25">
      <c r="A204" s="2">
        <v>45625</v>
      </c>
      <c r="B204">
        <v>2.306240459211932E-2</v>
      </c>
      <c r="C204">
        <v>2.1439402318027399E-2</v>
      </c>
      <c r="D204">
        <f t="shared" si="9"/>
        <v>1.6230022740919212E-3</v>
      </c>
      <c r="E204">
        <f t="shared" si="10"/>
        <v>2.0931750051305236</v>
      </c>
      <c r="F204">
        <f t="shared" si="11"/>
        <v>1.9314452535792521</v>
      </c>
    </row>
    <row r="205" spans="1:6" x14ac:dyDescent="0.25">
      <c r="A205" s="2">
        <v>45657</v>
      </c>
      <c r="B205">
        <v>-2.224737354473871E-2</v>
      </c>
      <c r="C205">
        <v>-2.3888944061193979E-2</v>
      </c>
      <c r="D205">
        <f t="shared" si="9"/>
        <v>1.6415705164552694E-3</v>
      </c>
      <c r="E205">
        <f t="shared" si="10"/>
        <v>2.0466073588968743</v>
      </c>
      <c r="F205">
        <f t="shared" si="11"/>
        <v>1.8853050659592387</v>
      </c>
    </row>
    <row r="206" spans="1:6" x14ac:dyDescent="0.25">
      <c r="A206" s="2">
        <v>45688</v>
      </c>
      <c r="B206">
        <v>1.695947062787129E-2</v>
      </c>
      <c r="C206">
        <v>2.0988445418491639E-2</v>
      </c>
      <c r="D206">
        <f t="shared" si="9"/>
        <v>-4.0289747906203481E-3</v>
      </c>
      <c r="E206">
        <f t="shared" si="10"/>
        <v>2.0813167362868712</v>
      </c>
      <c r="F206">
        <f t="shared" si="11"/>
        <v>1.9248746884333301</v>
      </c>
    </row>
    <row r="207" spans="1:6" x14ac:dyDescent="0.25">
      <c r="A207" s="2">
        <v>45716</v>
      </c>
      <c r="B207">
        <v>2.7224092335147691E-4</v>
      </c>
      <c r="C207">
        <v>1.2787417088971141E-3</v>
      </c>
      <c r="D207">
        <f t="shared" si="9"/>
        <v>-1.0065007855456372E-3</v>
      </c>
      <c r="E207">
        <f t="shared" si="10"/>
        <v>2.0818833558769447</v>
      </c>
      <c r="F207">
        <f t="shared" si="11"/>
        <v>1.9273361059818301</v>
      </c>
    </row>
    <row r="208" spans="1:6" x14ac:dyDescent="0.25">
      <c r="A208" s="2">
        <v>45747</v>
      </c>
      <c r="B208">
        <v>-2.0795891898864959E-2</v>
      </c>
      <c r="C208">
        <v>-1.8855664073659899E-2</v>
      </c>
      <c r="D208">
        <f t="shared" si="9"/>
        <v>-1.9402278252050598E-3</v>
      </c>
      <c r="E208">
        <f t="shared" si="10"/>
        <v>2.0385887346620817</v>
      </c>
      <c r="F208">
        <f t="shared" si="11"/>
        <v>1.890994903810401</v>
      </c>
    </row>
    <row r="209" spans="1:6" x14ac:dyDescent="0.25">
      <c r="A209" s="2">
        <v>45777</v>
      </c>
      <c r="B209">
        <v>1.6083027412750962E-2</v>
      </c>
      <c r="C209">
        <v>1.8212733400194948E-2</v>
      </c>
      <c r="D209">
        <f t="shared" si="9"/>
        <v>-2.1297059874439868E-3</v>
      </c>
      <c r="E209">
        <f t="shared" si="10"/>
        <v>2.0713754131649775</v>
      </c>
      <c r="F209">
        <f t="shared" si="11"/>
        <v>1.9254350898546271</v>
      </c>
    </row>
    <row r="210" spans="1:6" x14ac:dyDescent="0.25">
      <c r="A210" s="2">
        <v>45807</v>
      </c>
      <c r="B210">
        <v>2.5440675425318859E-2</v>
      </c>
      <c r="C210">
        <v>3.07053027729749E-2</v>
      </c>
      <c r="D210">
        <f t="shared" si="9"/>
        <v>-5.2646273476560403E-3</v>
      </c>
      <c r="E210">
        <f t="shared" si="10"/>
        <v>2.1240726027352936</v>
      </c>
      <c r="F210">
        <f t="shared" si="11"/>
        <v>1.9845561572583235</v>
      </c>
    </row>
    <row r="211" spans="1:6" x14ac:dyDescent="0.25">
      <c r="A211" s="2">
        <v>45838</v>
      </c>
      <c r="B211">
        <v>3.1902286221890667E-2</v>
      </c>
      <c r="C211">
        <v>3.3615074632478072E-2</v>
      </c>
      <c r="D211">
        <f t="shared" si="9"/>
        <v>-1.7127884105874042E-3</v>
      </c>
      <c r="E211">
        <f t="shared" si="10"/>
        <v>2.1918353748638313</v>
      </c>
      <c r="F211">
        <f t="shared" si="11"/>
        <v>2.0512671605969062</v>
      </c>
    </row>
    <row r="212" spans="1:6" x14ac:dyDescent="0.25">
      <c r="A212" s="2">
        <v>45869</v>
      </c>
      <c r="B212">
        <v>7.1889324068003749E-4</v>
      </c>
      <c r="C212">
        <v>1.3682453015269561E-3</v>
      </c>
      <c r="D212">
        <f t="shared" si="9"/>
        <v>-6.4935206084691861E-4</v>
      </c>
      <c r="E212">
        <f t="shared" si="10"/>
        <v>2.1934110704995042</v>
      </c>
      <c r="F212">
        <f t="shared" si="11"/>
        <v>2.0540737972515695</v>
      </c>
    </row>
    <row r="213" spans="1:6" x14ac:dyDescent="0.25">
      <c r="A213" s="2">
        <v>45898</v>
      </c>
      <c r="B213">
        <v>1.8101254692496939E-2</v>
      </c>
      <c r="C213">
        <v>2.1506280124671751E-2</v>
      </c>
      <c r="D213">
        <f t="shared" si="9"/>
        <v>-3.4050254321748123E-3</v>
      </c>
      <c r="E213">
        <f t="shared" si="10"/>
        <v>2.2331145629319584</v>
      </c>
      <c r="F213">
        <f t="shared" si="11"/>
        <v>2.0982492837320099</v>
      </c>
    </row>
    <row r="214" spans="1:6" x14ac:dyDescent="0.25">
      <c r="A214" s="2">
        <v>45930</v>
      </c>
      <c r="B214">
        <v>2.1171996883217262E-2</v>
      </c>
      <c r="C214">
        <v>2.2320192609548681E-2</v>
      </c>
      <c r="D214">
        <f t="shared" si="9"/>
        <v>-1.1481957263314198E-3</v>
      </c>
      <c r="E214">
        <f t="shared" si="10"/>
        <v>2.2803940574982211</v>
      </c>
      <c r="F214">
        <f t="shared" si="11"/>
        <v>2.145082611887756</v>
      </c>
    </row>
    <row r="215" spans="1:6" x14ac:dyDescent="0.25">
      <c r="A215" s="2">
        <v>45961</v>
      </c>
      <c r="B215">
        <v>9.7970616796740802E-3</v>
      </c>
      <c r="C215">
        <v>1.025026620928746E-2</v>
      </c>
      <c r="D215">
        <f t="shared" si="9"/>
        <v>-4.5320452961337965E-4</v>
      </c>
      <c r="E215">
        <f t="shared" si="10"/>
        <v>2.3027352187334933</v>
      </c>
      <c r="F215">
        <f t="shared" si="11"/>
        <v>2.167070279700519</v>
      </c>
    </row>
    <row r="216" spans="1:6" x14ac:dyDescent="0.25">
      <c r="A216" s="2">
        <v>45989</v>
      </c>
      <c r="B216">
        <v>8.0365022502549904E-4</v>
      </c>
      <c r="C216">
        <v>2.2764739201671892E-3</v>
      </c>
      <c r="D216">
        <f t="shared" si="9"/>
        <v>-1.4728236951416901E-3</v>
      </c>
      <c r="E216">
        <f t="shared" si="10"/>
        <v>2.3045858124102025</v>
      </c>
      <c r="F216">
        <f t="shared" si="11"/>
        <v>2.1720035586754269</v>
      </c>
    </row>
    <row r="217" spans="1:6" x14ac:dyDescent="0.25">
      <c r="A217" s="2">
        <v>46022</v>
      </c>
      <c r="B217">
        <v>2.5989879006977469E-3</v>
      </c>
      <c r="C217">
        <v>6.499983549492828E-3</v>
      </c>
      <c r="D217">
        <f t="shared" si="9"/>
        <v>-3.900995648795081E-3</v>
      </c>
      <c r="E217">
        <f t="shared" si="10"/>
        <v>2.3105754030527765</v>
      </c>
      <c r="F217">
        <f t="shared" si="11"/>
        <v>2.1861215460762571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5" sqref="C5"/>
    </sheetView>
  </sheetViews>
  <sheetFormatPr defaultRowHeight="14.4" x14ac:dyDescent="0.25"/>
  <sheetData>
    <row r="1" spans="1:3" ht="15.6" x14ac:dyDescent="0.25">
      <c r="A1" s="3" t="s">
        <v>13</v>
      </c>
    </row>
    <row r="4" spans="1:3" x14ac:dyDescent="0.25">
      <c r="A4" t="s">
        <v>14</v>
      </c>
      <c r="B4" t="s">
        <v>15</v>
      </c>
      <c r="C4" t="s">
        <v>16</v>
      </c>
    </row>
    <row r="5" spans="1:3" x14ac:dyDescent="0.25">
      <c r="A5" t="s">
        <v>17</v>
      </c>
      <c r="B5">
        <f>Data_Monthly!E217^(12/COUNT(Data_Monthly!$B$2:$B$217))-1</f>
        <v>4.7626980704626121E-2</v>
      </c>
      <c r="C5">
        <f>Data_Monthly!F217^(12/COUNT(Data_Monthly!$C$2:$C$217))-1</f>
        <v>4.4409454710830243E-2</v>
      </c>
    </row>
    <row r="6" spans="1:3" x14ac:dyDescent="0.25">
      <c r="A6" t="s">
        <v>18</v>
      </c>
      <c r="B6">
        <f>_xlfn.STDEV.S(Data_Monthly!$B$2:$B$217)*SQRT(12)</f>
        <v>8.7822899353519307E-2</v>
      </c>
      <c r="C6">
        <f>_xlfn.STDEV.S(Data_Monthly!$C$2:$C$217)*SQRT(12)</f>
        <v>0.10007915499996009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4" sqref="B4"/>
    </sheetView>
  </sheetViews>
  <sheetFormatPr defaultRowHeight="14.4" x14ac:dyDescent="0.25"/>
  <sheetData>
    <row r="1" spans="1:2" ht="15.6" x14ac:dyDescent="0.25">
      <c r="A1" s="3" t="s">
        <v>19</v>
      </c>
    </row>
    <row r="4" spans="1:2" x14ac:dyDescent="0.25">
      <c r="A4" t="s">
        <v>20</v>
      </c>
      <c r="B4">
        <f>AVERAGE(Data_Monthly!$D$2:$D$217)*12</f>
        <v>1.9167726115456862E-3</v>
      </c>
    </row>
    <row r="5" spans="1:2" x14ac:dyDescent="0.25">
      <c r="A5" t="s">
        <v>21</v>
      </c>
      <c r="B5">
        <f>_xlfn.STDEV.S(Data_Monthly!$D$2:$D$217)*SQRT(12)</f>
        <v>1.7062894065744925E-2</v>
      </c>
    </row>
    <row r="6" spans="1:2" x14ac:dyDescent="0.25">
      <c r="A6" t="s">
        <v>22</v>
      </c>
      <c r="B6">
        <f>B4/B5</f>
        <v>0.11233572711406296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9"/>
  <sheetViews>
    <sheetView workbookViewId="0"/>
  </sheetViews>
  <sheetFormatPr defaultRowHeight="14.4" x14ac:dyDescent="0.25"/>
  <sheetData>
    <row r="1" spans="1:3" ht="15.6" x14ac:dyDescent="0.25">
      <c r="A1" s="3" t="s">
        <v>23</v>
      </c>
    </row>
    <row r="2" spans="1:3" x14ac:dyDescent="0.25">
      <c r="A2" t="s">
        <v>24</v>
      </c>
    </row>
    <row r="3" spans="1:3" x14ac:dyDescent="0.25">
      <c r="A3" t="s">
        <v>7</v>
      </c>
      <c r="B3" t="s">
        <v>25</v>
      </c>
      <c r="C3" t="s">
        <v>26</v>
      </c>
    </row>
    <row r="4" spans="1:3" x14ac:dyDescent="0.25">
      <c r="A4">
        <f>Data_Monthly!A2</f>
        <v>39478</v>
      </c>
      <c r="B4">
        <f>Data_Monthly!E2</f>
        <v>0.97632507750920039</v>
      </c>
      <c r="C4">
        <f>Data_Monthly!F2</f>
        <v>0.96628483662296016</v>
      </c>
    </row>
    <row r="5" spans="1:3" x14ac:dyDescent="0.25">
      <c r="A5">
        <f>Data_Monthly!A3</f>
        <v>39507</v>
      </c>
      <c r="B5">
        <f>Data_Monthly!E3</f>
        <v>0.97936124036087469</v>
      </c>
      <c r="C5">
        <f>Data_Monthly!F3</f>
        <v>0.9741451831943414</v>
      </c>
    </row>
    <row r="6" spans="1:3" x14ac:dyDescent="0.25">
      <c r="A6">
        <f>Data_Monthly!A4</f>
        <v>39538</v>
      </c>
      <c r="B6">
        <f>Data_Monthly!E4</f>
        <v>0.98298244471451957</v>
      </c>
      <c r="C6">
        <f>Data_Monthly!F4</f>
        <v>0.97473072370028924</v>
      </c>
    </row>
    <row r="7" spans="1:3" x14ac:dyDescent="0.25">
      <c r="A7">
        <f>Data_Monthly!A5</f>
        <v>39568</v>
      </c>
      <c r="B7">
        <f>Data_Monthly!E5</f>
        <v>0.99937569025810769</v>
      </c>
      <c r="C7">
        <f>Data_Monthly!F5</f>
        <v>0.9972008319850203</v>
      </c>
    </row>
    <row r="8" spans="1:3" x14ac:dyDescent="0.25">
      <c r="A8">
        <f>Data_Monthly!A6</f>
        <v>39598</v>
      </c>
      <c r="B8">
        <f>Data_Monthly!E6</f>
        <v>1.0037305037091506</v>
      </c>
      <c r="C8">
        <f>Data_Monthly!F6</f>
        <v>1.0029046502911096</v>
      </c>
    </row>
    <row r="9" spans="1:3" x14ac:dyDescent="0.25">
      <c r="A9">
        <f>Data_Monthly!A7</f>
        <v>39629</v>
      </c>
      <c r="B9">
        <f>Data_Monthly!E7</f>
        <v>0.96615717349047125</v>
      </c>
      <c r="C9">
        <f>Data_Monthly!F7</f>
        <v>0.95699684306258104</v>
      </c>
    </row>
    <row r="10" spans="1:3" x14ac:dyDescent="0.25">
      <c r="A10">
        <f>Data_Monthly!A8</f>
        <v>39660</v>
      </c>
      <c r="B10">
        <f>Data_Monthly!E8</f>
        <v>0.95804614420324552</v>
      </c>
      <c r="C10">
        <f>Data_Monthly!F8</f>
        <v>0.94448564347393782</v>
      </c>
    </row>
    <row r="11" spans="1:3" x14ac:dyDescent="0.25">
      <c r="A11">
        <f>Data_Monthly!A9</f>
        <v>39689</v>
      </c>
      <c r="B11">
        <f>Data_Monthly!E9</f>
        <v>0.94712455679266605</v>
      </c>
      <c r="C11">
        <f>Data_Monthly!F9</f>
        <v>0.92790283293975684</v>
      </c>
    </row>
    <row r="12" spans="1:3" x14ac:dyDescent="0.25">
      <c r="A12">
        <f>Data_Monthly!A10</f>
        <v>39721</v>
      </c>
      <c r="B12">
        <f>Data_Monthly!E10</f>
        <v>0.87918016333882087</v>
      </c>
      <c r="C12">
        <f>Data_Monthly!F10</f>
        <v>0.85075825844938036</v>
      </c>
    </row>
    <row r="13" spans="1:3" x14ac:dyDescent="0.25">
      <c r="A13">
        <f>Data_Monthly!A11</f>
        <v>39752</v>
      </c>
      <c r="B13">
        <f>Data_Monthly!E11</f>
        <v>0.7804366616681746</v>
      </c>
      <c r="C13">
        <f>Data_Monthly!F11</f>
        <v>0.73788058269076628</v>
      </c>
    </row>
    <row r="14" spans="1:3" x14ac:dyDescent="0.25">
      <c r="A14">
        <f>Data_Monthly!A12</f>
        <v>39780</v>
      </c>
      <c r="B14">
        <f>Data_Monthly!E12</f>
        <v>0.76453597887505476</v>
      </c>
      <c r="C14">
        <f>Data_Monthly!F12</f>
        <v>0.71754990309152678</v>
      </c>
    </row>
    <row r="15" spans="1:3" x14ac:dyDescent="0.25">
      <c r="A15">
        <f>Data_Monthly!A13</f>
        <v>39813</v>
      </c>
      <c r="B15">
        <f>Data_Monthly!E13</f>
        <v>0.80200211516274733</v>
      </c>
      <c r="C15">
        <f>Data_Monthly!F13</f>
        <v>0.75431509691626053</v>
      </c>
    </row>
    <row r="16" spans="1:3" x14ac:dyDescent="0.25">
      <c r="A16">
        <f>Data_Monthly!A14</f>
        <v>39843</v>
      </c>
      <c r="B16">
        <f>Data_Monthly!E14</f>
        <v>0.76812303141384985</v>
      </c>
      <c r="C16">
        <f>Data_Monthly!F14</f>
        <v>0.71618203030585481</v>
      </c>
    </row>
    <row r="17" spans="1:3" x14ac:dyDescent="0.25">
      <c r="A17">
        <f>Data_Monthly!A15</f>
        <v>39871</v>
      </c>
      <c r="B17">
        <f>Data_Monthly!E15</f>
        <v>0.7335514273899022</v>
      </c>
      <c r="C17">
        <f>Data_Monthly!F15</f>
        <v>0.67862925677948416</v>
      </c>
    </row>
    <row r="18" spans="1:3" x14ac:dyDescent="0.25">
      <c r="A18">
        <f>Data_Monthly!A16</f>
        <v>39903</v>
      </c>
      <c r="B18">
        <f>Data_Monthly!E16</f>
        <v>0.76345875829251797</v>
      </c>
      <c r="C18">
        <f>Data_Monthly!F16</f>
        <v>0.71069135857159105</v>
      </c>
    </row>
    <row r="19" spans="1:3" x14ac:dyDescent="0.25">
      <c r="A19">
        <f>Data_Monthly!A17</f>
        <v>39933</v>
      </c>
      <c r="B19">
        <f>Data_Monthly!E17</f>
        <v>0.79607523111606482</v>
      </c>
      <c r="C19">
        <f>Data_Monthly!F17</f>
        <v>0.75011420274876139</v>
      </c>
    </row>
    <row r="20" spans="1:3" x14ac:dyDescent="0.25">
      <c r="A20">
        <f>Data_Monthly!A18</f>
        <v>39962</v>
      </c>
      <c r="B20">
        <f>Data_Monthly!E18</f>
        <v>0.83134398150771938</v>
      </c>
      <c r="C20">
        <f>Data_Monthly!F18</f>
        <v>0.79603415878034633</v>
      </c>
    </row>
    <row r="21" spans="1:3" x14ac:dyDescent="0.25">
      <c r="A21">
        <f>Data_Monthly!A19</f>
        <v>39994</v>
      </c>
      <c r="B21">
        <f>Data_Monthly!E19</f>
        <v>0.8331867828853905</v>
      </c>
      <c r="C21">
        <f>Data_Monthly!F19</f>
        <v>0.79696306921909832</v>
      </c>
    </row>
    <row r="22" spans="1:3" x14ac:dyDescent="0.25">
      <c r="A22">
        <f>Data_Monthly!A20</f>
        <v>40025</v>
      </c>
      <c r="B22">
        <f>Data_Monthly!E20</f>
        <v>0.86688492514511639</v>
      </c>
      <c r="C22">
        <f>Data_Monthly!F20</f>
        <v>0.83541892100505144</v>
      </c>
    </row>
    <row r="23" spans="1:3" x14ac:dyDescent="0.25">
      <c r="A23">
        <f>Data_Monthly!A21</f>
        <v>40056</v>
      </c>
      <c r="B23">
        <f>Data_Monthly!E21</f>
        <v>0.88700085272346951</v>
      </c>
      <c r="C23">
        <f>Data_Monthly!F21</f>
        <v>0.85702101384700768</v>
      </c>
    </row>
    <row r="24" spans="1:3" x14ac:dyDescent="0.25">
      <c r="A24">
        <f>Data_Monthly!A22</f>
        <v>40086</v>
      </c>
      <c r="B24">
        <f>Data_Monthly!E22</f>
        <v>0.91241680739567843</v>
      </c>
      <c r="C24">
        <f>Data_Monthly!F22</f>
        <v>0.88436406997623229</v>
      </c>
    </row>
    <row r="25" spans="1:3" x14ac:dyDescent="0.25">
      <c r="A25">
        <f>Data_Monthly!A23</f>
        <v>40116</v>
      </c>
      <c r="B25">
        <f>Data_Monthly!E23</f>
        <v>0.90718299599502616</v>
      </c>
      <c r="C25">
        <f>Data_Monthly!F23</f>
        <v>0.88033385554278298</v>
      </c>
    </row>
    <row r="26" spans="1:3" x14ac:dyDescent="0.25">
      <c r="A26">
        <f>Data_Monthly!A24</f>
        <v>40147</v>
      </c>
      <c r="B26">
        <f>Data_Monthly!E24</f>
        <v>0.93603153002618589</v>
      </c>
      <c r="C26">
        <f>Data_Monthly!F24</f>
        <v>0.9076488010365501</v>
      </c>
    </row>
    <row r="27" spans="1:3" x14ac:dyDescent="0.25">
      <c r="A27">
        <f>Data_Monthly!A25</f>
        <v>40178</v>
      </c>
      <c r="B27">
        <f>Data_Monthly!E25</f>
        <v>0.92392989459659247</v>
      </c>
      <c r="C27">
        <f>Data_Monthly!F25</f>
        <v>0.89715410532638495</v>
      </c>
    </row>
    <row r="28" spans="1:3" x14ac:dyDescent="0.25">
      <c r="A28">
        <f>Data_Monthly!A26</f>
        <v>40207</v>
      </c>
      <c r="B28">
        <f>Data_Monthly!E26</f>
        <v>0.91337277254778548</v>
      </c>
      <c r="C28">
        <f>Data_Monthly!F26</f>
        <v>0.88336650261536664</v>
      </c>
    </row>
    <row r="29" spans="1:3" x14ac:dyDescent="0.25">
      <c r="A29">
        <f>Data_Monthly!A27</f>
        <v>40235</v>
      </c>
      <c r="B29">
        <f>Data_Monthly!E27</f>
        <v>0.92311730590926599</v>
      </c>
      <c r="C29">
        <f>Data_Monthly!F27</f>
        <v>0.8887527512540615</v>
      </c>
    </row>
    <row r="30" spans="1:3" x14ac:dyDescent="0.25">
      <c r="A30">
        <f>Data_Monthly!A28</f>
        <v>40268</v>
      </c>
      <c r="B30">
        <f>Data_Monthly!E28</f>
        <v>0.94126324655230897</v>
      </c>
      <c r="C30">
        <f>Data_Monthly!F28</f>
        <v>0.91094714590287995</v>
      </c>
    </row>
    <row r="31" spans="1:3" x14ac:dyDescent="0.25">
      <c r="A31">
        <f>Data_Monthly!A29</f>
        <v>40298</v>
      </c>
      <c r="B31">
        <f>Data_Monthly!E29</f>
        <v>0.94746592472094238</v>
      </c>
      <c r="C31">
        <f>Data_Monthly!F29</f>
        <v>0.91384977478523344</v>
      </c>
    </row>
    <row r="32" spans="1:3" x14ac:dyDescent="0.25">
      <c r="A32">
        <f>Data_Monthly!A30</f>
        <v>40326</v>
      </c>
      <c r="B32">
        <f>Data_Monthly!E30</f>
        <v>0.91078397232979724</v>
      </c>
      <c r="C32">
        <f>Data_Monthly!F30</f>
        <v>0.86860322722303596</v>
      </c>
    </row>
    <row r="33" spans="1:3" x14ac:dyDescent="0.25">
      <c r="A33">
        <f>Data_Monthly!A31</f>
        <v>40359</v>
      </c>
      <c r="B33">
        <f>Data_Monthly!E31</f>
        <v>0.90230392545999238</v>
      </c>
      <c r="C33">
        <f>Data_Monthly!F31</f>
        <v>0.86383851176992776</v>
      </c>
    </row>
    <row r="34" spans="1:3" x14ac:dyDescent="0.25">
      <c r="A34">
        <f>Data_Monthly!A32</f>
        <v>40389</v>
      </c>
      <c r="B34">
        <f>Data_Monthly!E32</f>
        <v>0.94501040615845311</v>
      </c>
      <c r="C34">
        <f>Data_Monthly!F32</f>
        <v>0.91080716470587186</v>
      </c>
    </row>
    <row r="35" spans="1:3" x14ac:dyDescent="0.25">
      <c r="A35">
        <f>Data_Monthly!A33</f>
        <v>40421</v>
      </c>
      <c r="B35">
        <f>Data_Monthly!E33</f>
        <v>0.93881869276937391</v>
      </c>
      <c r="C35">
        <f>Data_Monthly!F33</f>
        <v>0.90443277250875409</v>
      </c>
    </row>
    <row r="36" spans="1:3" x14ac:dyDescent="0.25">
      <c r="A36">
        <f>Data_Monthly!A34</f>
        <v>40451</v>
      </c>
      <c r="B36">
        <f>Data_Monthly!E34</f>
        <v>0.98425610159347199</v>
      </c>
      <c r="C36">
        <f>Data_Monthly!F34</f>
        <v>0.95483895113851924</v>
      </c>
    </row>
    <row r="37" spans="1:3" x14ac:dyDescent="0.25">
      <c r="A37">
        <f>Data_Monthly!A35</f>
        <v>40480</v>
      </c>
      <c r="B37">
        <f>Data_Monthly!E35</f>
        <v>1.0047597087845992</v>
      </c>
      <c r="C37">
        <f>Data_Monthly!F35</f>
        <v>0.97684302670206624</v>
      </c>
    </row>
    <row r="38" spans="1:3" x14ac:dyDescent="0.25">
      <c r="A38">
        <f>Data_Monthly!A36</f>
        <v>40512</v>
      </c>
      <c r="B38">
        <f>Data_Monthly!E36</f>
        <v>0.98116720818006975</v>
      </c>
      <c r="C38">
        <f>Data_Monthly!F36</f>
        <v>0.94760828320499102</v>
      </c>
    </row>
    <row r="39" spans="1:3" x14ac:dyDescent="0.25">
      <c r="A39">
        <f>Data_Monthly!A37</f>
        <v>40543</v>
      </c>
      <c r="B39">
        <f>Data_Monthly!E37</f>
        <v>1.0123587987647698</v>
      </c>
      <c r="C39">
        <f>Data_Monthly!F37</f>
        <v>0.98519888757353358</v>
      </c>
    </row>
    <row r="40" spans="1:3" x14ac:dyDescent="0.25">
      <c r="A40">
        <f>Data_Monthly!A38</f>
        <v>40574</v>
      </c>
      <c r="B40">
        <f>Data_Monthly!E38</f>
        <v>1.0203259180911832</v>
      </c>
      <c r="C40">
        <f>Data_Monthly!F38</f>
        <v>0.99266519295918454</v>
      </c>
    </row>
    <row r="41" spans="1:3" x14ac:dyDescent="0.25">
      <c r="A41">
        <f>Data_Monthly!A39</f>
        <v>40602</v>
      </c>
      <c r="B41">
        <f>Data_Monthly!E39</f>
        <v>1.0384009341040494</v>
      </c>
      <c r="C41">
        <f>Data_Monthly!F39</f>
        <v>1.0094537411332087</v>
      </c>
    </row>
    <row r="42" spans="1:3" x14ac:dyDescent="0.25">
      <c r="A42">
        <f>Data_Monthly!A40</f>
        <v>40633</v>
      </c>
      <c r="B42">
        <f>Data_Monthly!E40</f>
        <v>1.041893311937115</v>
      </c>
      <c r="C42">
        <f>Data_Monthly!F40</f>
        <v>1.0130455175753823</v>
      </c>
    </row>
    <row r="43" spans="1:3" x14ac:dyDescent="0.25">
      <c r="A43">
        <f>Data_Monthly!A41</f>
        <v>40662</v>
      </c>
      <c r="B43">
        <f>Data_Monthly!E41</f>
        <v>1.0738874271141157</v>
      </c>
      <c r="C43">
        <f>Data_Monthly!F41</f>
        <v>1.0486253258005775</v>
      </c>
    </row>
    <row r="44" spans="1:3" x14ac:dyDescent="0.25">
      <c r="A44">
        <f>Data_Monthly!A42</f>
        <v>40694</v>
      </c>
      <c r="B44">
        <f>Data_Monthly!E42</f>
        <v>1.0688446394841091</v>
      </c>
      <c r="C44">
        <f>Data_Monthly!F42</f>
        <v>1.0387792898561963</v>
      </c>
    </row>
    <row r="45" spans="1:3" x14ac:dyDescent="0.25">
      <c r="A45">
        <f>Data_Monthly!A43</f>
        <v>40724</v>
      </c>
      <c r="B45">
        <f>Data_Monthly!E43</f>
        <v>1.0622220125175765</v>
      </c>
      <c r="C45">
        <f>Data_Monthly!F43</f>
        <v>1.0315762626247673</v>
      </c>
    </row>
    <row r="46" spans="1:3" x14ac:dyDescent="0.25">
      <c r="A46">
        <f>Data_Monthly!A44</f>
        <v>40753</v>
      </c>
      <c r="B46">
        <f>Data_Monthly!E44</f>
        <v>1.0664324794267948</v>
      </c>
      <c r="C46">
        <f>Data_Monthly!F44</f>
        <v>1.0357820571820835</v>
      </c>
    </row>
    <row r="47" spans="1:3" x14ac:dyDescent="0.25">
      <c r="A47">
        <f>Data_Monthly!A45</f>
        <v>40786</v>
      </c>
      <c r="B47">
        <f>Data_Monthly!E45</f>
        <v>1.0483031877689382</v>
      </c>
      <c r="C47">
        <f>Data_Monthly!F45</f>
        <v>1.0082150927064495</v>
      </c>
    </row>
    <row r="48" spans="1:3" x14ac:dyDescent="0.25">
      <c r="A48">
        <f>Data_Monthly!A46</f>
        <v>40816</v>
      </c>
      <c r="B48">
        <f>Data_Monthly!E46</f>
        <v>1.0027595503235454</v>
      </c>
      <c r="C48">
        <f>Data_Monthly!F46</f>
        <v>0.95251969177958484</v>
      </c>
    </row>
    <row r="49" spans="1:3" x14ac:dyDescent="0.25">
      <c r="A49">
        <f>Data_Monthly!A47</f>
        <v>40847</v>
      </c>
      <c r="B49">
        <f>Data_Monthly!E47</f>
        <v>1.0532859667945136</v>
      </c>
      <c r="C49">
        <f>Data_Monthly!F47</f>
        <v>1.0057366253785271</v>
      </c>
    </row>
    <row r="50" spans="1:3" x14ac:dyDescent="0.25">
      <c r="A50">
        <f>Data_Monthly!A48</f>
        <v>40877</v>
      </c>
      <c r="B50">
        <f>Data_Monthly!E48</f>
        <v>1.0392965068956861</v>
      </c>
      <c r="C50">
        <f>Data_Monthly!F48</f>
        <v>0.98295152954055687</v>
      </c>
    </row>
    <row r="51" spans="1:3" x14ac:dyDescent="0.25">
      <c r="A51">
        <f>Data_Monthly!A49</f>
        <v>40907</v>
      </c>
      <c r="B51">
        <f>Data_Monthly!E49</f>
        <v>1.0460549569107889</v>
      </c>
      <c r="C51">
        <f>Data_Monthly!F49</f>
        <v>0.9858035937130073</v>
      </c>
    </row>
    <row r="52" spans="1:3" x14ac:dyDescent="0.25">
      <c r="A52">
        <f>Data_Monthly!A50</f>
        <v>40939</v>
      </c>
      <c r="B52">
        <f>Data_Monthly!E50</f>
        <v>1.0768824341280698</v>
      </c>
      <c r="C52">
        <f>Data_Monthly!F50</f>
        <v>1.020453389461921</v>
      </c>
    </row>
    <row r="53" spans="1:3" x14ac:dyDescent="0.25">
      <c r="A53">
        <f>Data_Monthly!A51</f>
        <v>40968</v>
      </c>
      <c r="B53">
        <f>Data_Monthly!E51</f>
        <v>1.0914574612800045</v>
      </c>
      <c r="C53">
        <f>Data_Monthly!F51</f>
        <v>1.0414478091617676</v>
      </c>
    </row>
    <row r="54" spans="1:3" x14ac:dyDescent="0.25">
      <c r="A54">
        <f>Data_Monthly!A52</f>
        <v>40998</v>
      </c>
      <c r="B54">
        <f>Data_Monthly!E52</f>
        <v>1.095326874245385</v>
      </c>
      <c r="C54">
        <f>Data_Monthly!F52</f>
        <v>1.0401545297005639</v>
      </c>
    </row>
    <row r="55" spans="1:3" x14ac:dyDescent="0.25">
      <c r="A55">
        <f>Data_Monthly!A53</f>
        <v>41029</v>
      </c>
      <c r="B55">
        <f>Data_Monthly!E53</f>
        <v>1.1004690254388678</v>
      </c>
      <c r="C55">
        <f>Data_Monthly!F53</f>
        <v>1.0427711527599701</v>
      </c>
    </row>
    <row r="56" spans="1:3" x14ac:dyDescent="0.25">
      <c r="A56">
        <f>Data_Monthly!A54</f>
        <v>41060</v>
      </c>
      <c r="B56">
        <f>Data_Monthly!E54</f>
        <v>1.0692889649621922</v>
      </c>
      <c r="C56">
        <f>Data_Monthly!F54</f>
        <v>0.99882027529325568</v>
      </c>
    </row>
    <row r="57" spans="1:3" x14ac:dyDescent="0.25">
      <c r="A57">
        <f>Data_Monthly!A55</f>
        <v>41089</v>
      </c>
      <c r="B57">
        <f>Data_Monthly!E55</f>
        <v>1.0876842389412111</v>
      </c>
      <c r="C57">
        <f>Data_Monthly!F55</f>
        <v>1.0212587330046179</v>
      </c>
    </row>
    <row r="58" spans="1:3" x14ac:dyDescent="0.25">
      <c r="A58">
        <f>Data_Monthly!A56</f>
        <v>41121</v>
      </c>
      <c r="B58">
        <f>Data_Monthly!E56</f>
        <v>1.0986700530250277</v>
      </c>
      <c r="C58">
        <f>Data_Monthly!F56</f>
        <v>1.033128640968535</v>
      </c>
    </row>
    <row r="59" spans="1:3" x14ac:dyDescent="0.25">
      <c r="A59">
        <f>Data_Monthly!A57</f>
        <v>41152</v>
      </c>
      <c r="B59">
        <f>Data_Monthly!E57</f>
        <v>1.1141883496916436</v>
      </c>
      <c r="C59">
        <f>Data_Monthly!F57</f>
        <v>1.0484146192909176</v>
      </c>
    </row>
    <row r="60" spans="1:3" x14ac:dyDescent="0.25">
      <c r="A60">
        <f>Data_Monthly!A58</f>
        <v>41180</v>
      </c>
      <c r="B60">
        <f>Data_Monthly!E58</f>
        <v>1.1325024389977016</v>
      </c>
      <c r="C60">
        <f>Data_Monthly!F58</f>
        <v>1.0698860045781489</v>
      </c>
    </row>
    <row r="61" spans="1:3" x14ac:dyDescent="0.25">
      <c r="A61">
        <f>Data_Monthly!A59</f>
        <v>41213</v>
      </c>
      <c r="B61">
        <f>Data_Monthly!E59</f>
        <v>1.1262207851127282</v>
      </c>
      <c r="C61">
        <f>Data_Monthly!F59</f>
        <v>1.0666208207996537</v>
      </c>
    </row>
    <row r="62" spans="1:3" x14ac:dyDescent="0.25">
      <c r="A62">
        <f>Data_Monthly!A60</f>
        <v>41243</v>
      </c>
      <c r="B62">
        <f>Data_Monthly!E60</f>
        <v>1.1311902464742787</v>
      </c>
      <c r="C62">
        <f>Data_Monthly!F60</f>
        <v>1.0730871996200568</v>
      </c>
    </row>
    <row r="63" spans="1:3" x14ac:dyDescent="0.25">
      <c r="A63">
        <f>Data_Monthly!A61</f>
        <v>41274</v>
      </c>
      <c r="B63">
        <f>Data_Monthly!E61</f>
        <v>1.1354126124202177</v>
      </c>
      <c r="C63">
        <f>Data_Monthly!F61</f>
        <v>1.0820337873124231</v>
      </c>
    </row>
    <row r="64" spans="1:3" x14ac:dyDescent="0.25">
      <c r="A64">
        <f>Data_Monthly!A62</f>
        <v>41305</v>
      </c>
      <c r="B64">
        <f>Data_Monthly!E62</f>
        <v>1.1506815110733941</v>
      </c>
      <c r="C64">
        <f>Data_Monthly!F62</f>
        <v>1.0987684433212264</v>
      </c>
    </row>
    <row r="65" spans="1:3" x14ac:dyDescent="0.25">
      <c r="A65">
        <f>Data_Monthly!A63</f>
        <v>41333</v>
      </c>
      <c r="B65">
        <f>Data_Monthly!E63</f>
        <v>1.148230026763331</v>
      </c>
      <c r="C65">
        <f>Data_Monthly!F63</f>
        <v>1.0932045703640296</v>
      </c>
    </row>
    <row r="66" spans="1:3" x14ac:dyDescent="0.25">
      <c r="A66">
        <f>Data_Monthly!A64</f>
        <v>41361</v>
      </c>
      <c r="B66">
        <f>Data_Monthly!E64</f>
        <v>1.160444706261138</v>
      </c>
      <c r="C66">
        <f>Data_Monthly!F64</f>
        <v>1.1011599771690397</v>
      </c>
    </row>
    <row r="67" spans="1:3" x14ac:dyDescent="0.25">
      <c r="A67">
        <f>Data_Monthly!A65</f>
        <v>41394</v>
      </c>
      <c r="B67">
        <f>Data_Monthly!E65</f>
        <v>1.1781014806618404</v>
      </c>
      <c r="C67">
        <f>Data_Monthly!F65</f>
        <v>1.1228023655698744</v>
      </c>
    </row>
    <row r="68" spans="1:3" x14ac:dyDescent="0.25">
      <c r="A68">
        <f>Data_Monthly!A66</f>
        <v>41425</v>
      </c>
      <c r="B68">
        <f>Data_Monthly!E66</f>
        <v>1.1636808526543847</v>
      </c>
      <c r="C68">
        <f>Data_Monthly!F66</f>
        <v>1.1028935757067619</v>
      </c>
    </row>
    <row r="69" spans="1:3" x14ac:dyDescent="0.25">
      <c r="A69">
        <f>Data_Monthly!A67</f>
        <v>41453</v>
      </c>
      <c r="B69">
        <f>Data_Monthly!E67</f>
        <v>1.1462522821534316</v>
      </c>
      <c r="C69">
        <f>Data_Monthly!F67</f>
        <v>1.0804167337178197</v>
      </c>
    </row>
    <row r="70" spans="1:3" x14ac:dyDescent="0.25">
      <c r="A70">
        <f>Data_Monthly!A68</f>
        <v>41486</v>
      </c>
      <c r="B70">
        <f>Data_Monthly!E68</f>
        <v>1.175548744736971</v>
      </c>
      <c r="C70">
        <f>Data_Monthly!F68</f>
        <v>1.1103330811004462</v>
      </c>
    </row>
    <row r="71" spans="1:3" x14ac:dyDescent="0.25">
      <c r="A71">
        <f>Data_Monthly!A69</f>
        <v>41516</v>
      </c>
      <c r="B71">
        <f>Data_Monthly!E69</f>
        <v>1.1608303228658536</v>
      </c>
      <c r="C71">
        <f>Data_Monthly!F69</f>
        <v>1.0974354620975721</v>
      </c>
    </row>
    <row r="72" spans="1:3" x14ac:dyDescent="0.25">
      <c r="A72">
        <f>Data_Monthly!A70</f>
        <v>41547</v>
      </c>
      <c r="B72">
        <f>Data_Monthly!E70</f>
        <v>1.1946394168952235</v>
      </c>
      <c r="C72">
        <f>Data_Monthly!F70</f>
        <v>1.1359179298667295</v>
      </c>
    </row>
    <row r="73" spans="1:3" x14ac:dyDescent="0.25">
      <c r="A73">
        <f>Data_Monthly!A71</f>
        <v>41578</v>
      </c>
      <c r="B73">
        <f>Data_Monthly!E71</f>
        <v>1.2175402348764628</v>
      </c>
      <c r="C73">
        <f>Data_Monthly!F71</f>
        <v>1.1612310174484135</v>
      </c>
    </row>
    <row r="74" spans="1:3" x14ac:dyDescent="0.25">
      <c r="A74">
        <f>Data_Monthly!A72</f>
        <v>41607</v>
      </c>
      <c r="B74">
        <f>Data_Monthly!E72</f>
        <v>1.2229162800796836</v>
      </c>
      <c r="C74">
        <f>Data_Monthly!F72</f>
        <v>1.1628797371980089</v>
      </c>
    </row>
    <row r="75" spans="1:3" x14ac:dyDescent="0.25">
      <c r="A75">
        <f>Data_Monthly!A73</f>
        <v>41639</v>
      </c>
      <c r="B75">
        <f>Data_Monthly!E73</f>
        <v>1.2280286925811892</v>
      </c>
      <c r="C75">
        <f>Data_Monthly!F73</f>
        <v>1.1674499805962295</v>
      </c>
    </row>
    <row r="76" spans="1:3" x14ac:dyDescent="0.25">
      <c r="A76">
        <f>Data_Monthly!A74</f>
        <v>41670</v>
      </c>
      <c r="B76">
        <f>Data_Monthly!E74</f>
        <v>1.2222597756534188</v>
      </c>
      <c r="C76">
        <f>Data_Monthly!F74</f>
        <v>1.1537589153124255</v>
      </c>
    </row>
    <row r="77" spans="1:3" x14ac:dyDescent="0.25">
      <c r="A77">
        <f>Data_Monthly!A75</f>
        <v>41698</v>
      </c>
      <c r="B77">
        <f>Data_Monthly!E75</f>
        <v>1.2546361057981137</v>
      </c>
      <c r="C77">
        <f>Data_Monthly!F75</f>
        <v>1.1891741409546417</v>
      </c>
    </row>
    <row r="78" spans="1:3" x14ac:dyDescent="0.25">
      <c r="A78">
        <f>Data_Monthly!A76</f>
        <v>41729</v>
      </c>
      <c r="B78">
        <f>Data_Monthly!E76</f>
        <v>1.2553864645144455</v>
      </c>
      <c r="C78">
        <f>Data_Monthly!F76</f>
        <v>1.1912215466582619</v>
      </c>
    </row>
    <row r="79" spans="1:3" x14ac:dyDescent="0.25">
      <c r="A79">
        <f>Data_Monthly!A77</f>
        <v>41759</v>
      </c>
      <c r="B79">
        <f>Data_Monthly!E77</f>
        <v>1.2652420758595941</v>
      </c>
      <c r="C79">
        <f>Data_Monthly!F77</f>
        <v>1.2020988989203876</v>
      </c>
    </row>
    <row r="80" spans="1:3" x14ac:dyDescent="0.25">
      <c r="A80">
        <f>Data_Monthly!A78</f>
        <v>41789</v>
      </c>
      <c r="B80">
        <f>Data_Monthly!E78</f>
        <v>1.2804725634986416</v>
      </c>
      <c r="C80">
        <f>Data_Monthly!F78</f>
        <v>1.2175048398722099</v>
      </c>
    </row>
    <row r="81" spans="1:3" x14ac:dyDescent="0.25">
      <c r="A81">
        <f>Data_Monthly!A79</f>
        <v>41820</v>
      </c>
      <c r="B81">
        <f>Data_Monthly!E79</f>
        <v>1.2970998260233957</v>
      </c>
      <c r="C81">
        <f>Data_Monthly!F79</f>
        <v>1.2343609386220753</v>
      </c>
    </row>
    <row r="82" spans="1:3" x14ac:dyDescent="0.25">
      <c r="A82">
        <f>Data_Monthly!A80</f>
        <v>41851</v>
      </c>
      <c r="B82">
        <f>Data_Monthly!E80</f>
        <v>1.280947002076497</v>
      </c>
      <c r="C82">
        <f>Data_Monthly!F80</f>
        <v>1.2195532780857932</v>
      </c>
    </row>
    <row r="83" spans="1:3" x14ac:dyDescent="0.25">
      <c r="A83">
        <f>Data_Monthly!A81</f>
        <v>41880</v>
      </c>
      <c r="B83">
        <f>Data_Monthly!E81</f>
        <v>1.3033534594032681</v>
      </c>
      <c r="C83">
        <f>Data_Monthly!F81</f>
        <v>1.2369457198574776</v>
      </c>
    </row>
    <row r="84" spans="1:3" x14ac:dyDescent="0.25">
      <c r="A84">
        <f>Data_Monthly!A82</f>
        <v>41912</v>
      </c>
      <c r="B84">
        <f>Data_Monthly!E82</f>
        <v>1.2711466365052548</v>
      </c>
      <c r="C84">
        <f>Data_Monthly!F82</f>
        <v>1.1986102220397983</v>
      </c>
    </row>
    <row r="85" spans="1:3" x14ac:dyDescent="0.25">
      <c r="A85">
        <f>Data_Monthly!A83</f>
        <v>41943</v>
      </c>
      <c r="B85">
        <f>Data_Monthly!E83</f>
        <v>1.2825258232030889</v>
      </c>
      <c r="C85">
        <f>Data_Monthly!F83</f>
        <v>1.2032576210372168</v>
      </c>
    </row>
    <row r="86" spans="1:3" x14ac:dyDescent="0.25">
      <c r="A86">
        <f>Data_Monthly!A84</f>
        <v>41971</v>
      </c>
      <c r="B86">
        <f>Data_Monthly!E84</f>
        <v>1.2911226876261133</v>
      </c>
      <c r="C86">
        <f>Data_Monthly!F84</f>
        <v>1.2096698005325872</v>
      </c>
    </row>
    <row r="87" spans="1:3" x14ac:dyDescent="0.25">
      <c r="A87">
        <f>Data_Monthly!A85</f>
        <v>42004</v>
      </c>
      <c r="B87">
        <f>Data_Monthly!E85</f>
        <v>1.2844268408099895</v>
      </c>
      <c r="C87">
        <f>Data_Monthly!F85</f>
        <v>1.1956066076915084</v>
      </c>
    </row>
    <row r="88" spans="1:3" x14ac:dyDescent="0.25">
      <c r="A88">
        <f>Data_Monthly!A86</f>
        <v>42034</v>
      </c>
      <c r="B88">
        <f>Data_Monthly!E86</f>
        <v>1.2746294161603346</v>
      </c>
      <c r="C88">
        <f>Data_Monthly!F86</f>
        <v>1.1858451353133868</v>
      </c>
    </row>
    <row r="89" spans="1:3" x14ac:dyDescent="0.25">
      <c r="A89">
        <f>Data_Monthly!A87</f>
        <v>42062</v>
      </c>
      <c r="B89">
        <f>Data_Monthly!E87</f>
        <v>1.2963779923690881</v>
      </c>
      <c r="C89">
        <f>Data_Monthly!F87</f>
        <v>1.2126346266945456</v>
      </c>
    </row>
    <row r="90" spans="1:3" x14ac:dyDescent="0.25">
      <c r="A90">
        <f>Data_Monthly!A88</f>
        <v>42094</v>
      </c>
      <c r="B90">
        <f>Data_Monthly!E88</f>
        <v>1.285828201969883</v>
      </c>
      <c r="C90">
        <f>Data_Monthly!F88</f>
        <v>1.199119744995957</v>
      </c>
    </row>
    <row r="91" spans="1:3" x14ac:dyDescent="0.25">
      <c r="A91">
        <f>Data_Monthly!A89</f>
        <v>42124</v>
      </c>
      <c r="B91">
        <f>Data_Monthly!E89</f>
        <v>1.2963993953500901</v>
      </c>
      <c r="C91">
        <f>Data_Monthly!F89</f>
        <v>1.2215739067569009</v>
      </c>
    </row>
    <row r="92" spans="1:3" x14ac:dyDescent="0.25">
      <c r="A92">
        <f>Data_Monthly!A90</f>
        <v>42153</v>
      </c>
      <c r="B92">
        <f>Data_Monthly!E90</f>
        <v>1.2897911789661851</v>
      </c>
      <c r="C92">
        <f>Data_Monthly!F90</f>
        <v>1.2112455028862386</v>
      </c>
    </row>
    <row r="93" spans="1:3" x14ac:dyDescent="0.25">
      <c r="A93">
        <f>Data_Monthly!A91</f>
        <v>42185</v>
      </c>
      <c r="B93">
        <f>Data_Monthly!E91</f>
        <v>1.2786723909154463</v>
      </c>
      <c r="C93">
        <f>Data_Monthly!F91</f>
        <v>1.1962603343409512</v>
      </c>
    </row>
    <row r="94" spans="1:3" x14ac:dyDescent="0.25">
      <c r="A94">
        <f>Data_Monthly!A92</f>
        <v>42216</v>
      </c>
      <c r="B94">
        <f>Data_Monthly!E92</f>
        <v>1.2891692532604346</v>
      </c>
      <c r="C94">
        <f>Data_Monthly!F92</f>
        <v>1.2017009592386323</v>
      </c>
    </row>
    <row r="95" spans="1:3" x14ac:dyDescent="0.25">
      <c r="A95">
        <f>Data_Monthly!A93</f>
        <v>42247</v>
      </c>
      <c r="B95">
        <f>Data_Monthly!E93</f>
        <v>1.2588780209446395</v>
      </c>
      <c r="C95">
        <f>Data_Monthly!F93</f>
        <v>1.1641321541975382</v>
      </c>
    </row>
    <row r="96" spans="1:3" x14ac:dyDescent="0.25">
      <c r="A96">
        <f>Data_Monthly!A94</f>
        <v>42277</v>
      </c>
      <c r="B96">
        <f>Data_Monthly!E94</f>
        <v>1.246507415467583</v>
      </c>
      <c r="C96">
        <f>Data_Monthly!F94</f>
        <v>1.1466342952180997</v>
      </c>
    </row>
    <row r="97" spans="1:3" x14ac:dyDescent="0.25">
      <c r="A97">
        <f>Data_Monthly!A95</f>
        <v>42307</v>
      </c>
      <c r="B97">
        <f>Data_Monthly!E95</f>
        <v>1.2846239765956633</v>
      </c>
      <c r="C97">
        <f>Data_Monthly!F95</f>
        <v>1.189705624130742</v>
      </c>
    </row>
    <row r="98" spans="1:3" x14ac:dyDescent="0.25">
      <c r="A98">
        <f>Data_Monthly!A96</f>
        <v>42338</v>
      </c>
      <c r="B98">
        <f>Data_Monthly!E96</f>
        <v>1.2760813795359587</v>
      </c>
      <c r="C98">
        <f>Data_Monthly!F96</f>
        <v>1.1759551201266021</v>
      </c>
    </row>
    <row r="99" spans="1:3" x14ac:dyDescent="0.25">
      <c r="A99">
        <f>Data_Monthly!A97</f>
        <v>42369</v>
      </c>
      <c r="B99">
        <f>Data_Monthly!E97</f>
        <v>1.2685010503846168</v>
      </c>
      <c r="C99">
        <f>Data_Monthly!F97</f>
        <v>1.1679584408121608</v>
      </c>
    </row>
    <row r="100" spans="1:3" x14ac:dyDescent="0.25">
      <c r="A100">
        <f>Data_Monthly!A98</f>
        <v>42398</v>
      </c>
      <c r="B100">
        <f>Data_Monthly!E98</f>
        <v>1.2448599217755636</v>
      </c>
      <c r="C100">
        <f>Data_Monthly!F98</f>
        <v>1.1389582202346138</v>
      </c>
    </row>
    <row r="101" spans="1:3" x14ac:dyDescent="0.25">
      <c r="A101">
        <f>Data_Monthly!A99</f>
        <v>42429</v>
      </c>
      <c r="B101">
        <f>Data_Monthly!E99</f>
        <v>1.2574384515970223</v>
      </c>
      <c r="C101">
        <f>Data_Monthly!F99</f>
        <v>1.1489685850992728</v>
      </c>
    </row>
    <row r="102" spans="1:3" x14ac:dyDescent="0.25">
      <c r="A102">
        <f>Data_Monthly!A100</f>
        <v>42460</v>
      </c>
      <c r="B102">
        <f>Data_Monthly!E100</f>
        <v>1.3102877792933807</v>
      </c>
      <c r="C102">
        <f>Data_Monthly!F100</f>
        <v>1.2066015607789997</v>
      </c>
    </row>
    <row r="103" spans="1:3" x14ac:dyDescent="0.25">
      <c r="A103">
        <f>Data_Monthly!A101</f>
        <v>42489</v>
      </c>
      <c r="B103">
        <f>Data_Monthly!E101</f>
        <v>1.3243451698805586</v>
      </c>
      <c r="C103">
        <f>Data_Monthly!F101</f>
        <v>1.2241809224271756</v>
      </c>
    </row>
    <row r="104" spans="1:3" x14ac:dyDescent="0.25">
      <c r="A104">
        <f>Data_Monthly!A102</f>
        <v>42521</v>
      </c>
      <c r="B104">
        <f>Data_Monthly!E102</f>
        <v>1.3240707733910457</v>
      </c>
      <c r="C104">
        <f>Data_Monthly!F102</f>
        <v>1.2178437993286781</v>
      </c>
    </row>
    <row r="105" spans="1:3" x14ac:dyDescent="0.25">
      <c r="A105">
        <f>Data_Monthly!A103</f>
        <v>42551</v>
      </c>
      <c r="B105">
        <f>Data_Monthly!E103</f>
        <v>1.3439059785059839</v>
      </c>
      <c r="C105">
        <f>Data_Monthly!F103</f>
        <v>1.2316994746562671</v>
      </c>
    </row>
    <row r="106" spans="1:3" x14ac:dyDescent="0.25">
      <c r="A106">
        <f>Data_Monthly!A104</f>
        <v>42580</v>
      </c>
      <c r="B106">
        <f>Data_Monthly!E104</f>
        <v>1.3726012996561525</v>
      </c>
      <c r="C106">
        <f>Data_Monthly!F104</f>
        <v>1.2627574360210998</v>
      </c>
    </row>
    <row r="107" spans="1:3" x14ac:dyDescent="0.25">
      <c r="A107">
        <f>Data_Monthly!A105</f>
        <v>42613</v>
      </c>
      <c r="B107">
        <f>Data_Monthly!E105</f>
        <v>1.3722025594219318</v>
      </c>
      <c r="C107">
        <f>Data_Monthly!F105</f>
        <v>1.263090163224452</v>
      </c>
    </row>
    <row r="108" spans="1:3" x14ac:dyDescent="0.25">
      <c r="A108">
        <f>Data_Monthly!A106</f>
        <v>42643</v>
      </c>
      <c r="B108">
        <f>Data_Monthly!E106</f>
        <v>1.3775611495023887</v>
      </c>
      <c r="C108">
        <f>Data_Monthly!F106</f>
        <v>1.2708820004066381</v>
      </c>
    </row>
    <row r="109" spans="1:3" x14ac:dyDescent="0.25">
      <c r="A109">
        <f>Data_Monthly!A107</f>
        <v>42674</v>
      </c>
      <c r="B109">
        <f>Data_Monthly!E107</f>
        <v>1.3434794400588224</v>
      </c>
      <c r="C109">
        <f>Data_Monthly!F107</f>
        <v>1.2413462322151938</v>
      </c>
    </row>
    <row r="110" spans="1:3" x14ac:dyDescent="0.25">
      <c r="A110">
        <f>Data_Monthly!A108</f>
        <v>42704</v>
      </c>
      <c r="B110">
        <f>Data_Monthly!E108</f>
        <v>1.3350771835925985</v>
      </c>
      <c r="C110">
        <f>Data_Monthly!F108</f>
        <v>1.223163180906838</v>
      </c>
    </row>
    <row r="111" spans="1:3" x14ac:dyDescent="0.25">
      <c r="A111">
        <f>Data_Monthly!A109</f>
        <v>42734</v>
      </c>
      <c r="B111">
        <f>Data_Monthly!E109</f>
        <v>1.3445639983515434</v>
      </c>
      <c r="C111">
        <f>Data_Monthly!F109</f>
        <v>1.2339647336310082</v>
      </c>
    </row>
    <row r="112" spans="1:3" x14ac:dyDescent="0.25">
      <c r="A112">
        <f>Data_Monthly!A110</f>
        <v>42766</v>
      </c>
      <c r="B112">
        <f>Data_Monthly!E110</f>
        <v>1.3641400468225711</v>
      </c>
      <c r="C112">
        <f>Data_Monthly!F110</f>
        <v>1.256934521264305</v>
      </c>
    </row>
    <row r="113" spans="1:3" x14ac:dyDescent="0.25">
      <c r="A113">
        <f>Data_Monthly!A111</f>
        <v>42794</v>
      </c>
      <c r="B113">
        <f>Data_Monthly!E111</f>
        <v>1.3861923507126017</v>
      </c>
      <c r="C113">
        <f>Data_Monthly!F111</f>
        <v>1.2764717632887133</v>
      </c>
    </row>
    <row r="114" spans="1:3" x14ac:dyDescent="0.25">
      <c r="A114">
        <f>Data_Monthly!A112</f>
        <v>42825</v>
      </c>
      <c r="B114">
        <f>Data_Monthly!E112</f>
        <v>1.3901827738536856</v>
      </c>
      <c r="C114">
        <f>Data_Monthly!F112</f>
        <v>1.2843445314816777</v>
      </c>
    </row>
    <row r="115" spans="1:3" x14ac:dyDescent="0.25">
      <c r="A115">
        <f>Data_Monthly!A113</f>
        <v>42853</v>
      </c>
      <c r="B115">
        <f>Data_Monthly!E113</f>
        <v>1.4071586190025538</v>
      </c>
      <c r="C115">
        <f>Data_Monthly!F113</f>
        <v>1.3023325362492157</v>
      </c>
    </row>
    <row r="116" spans="1:3" x14ac:dyDescent="0.25">
      <c r="A116">
        <f>Data_Monthly!A114</f>
        <v>42886</v>
      </c>
      <c r="B116">
        <f>Data_Monthly!E114</f>
        <v>1.4257882944821687</v>
      </c>
      <c r="C116">
        <f>Data_Monthly!F114</f>
        <v>1.3245914622603039</v>
      </c>
    </row>
    <row r="117" spans="1:3" x14ac:dyDescent="0.25">
      <c r="A117">
        <f>Data_Monthly!A115</f>
        <v>42916</v>
      </c>
      <c r="B117">
        <f>Data_Monthly!E115</f>
        <v>1.4297551174082801</v>
      </c>
      <c r="C117">
        <f>Data_Monthly!F115</f>
        <v>1.3276898191611506</v>
      </c>
    </row>
    <row r="118" spans="1:3" x14ac:dyDescent="0.25">
      <c r="A118">
        <f>Data_Monthly!A116</f>
        <v>42947</v>
      </c>
      <c r="B118">
        <f>Data_Monthly!E116</f>
        <v>1.4539830726618672</v>
      </c>
      <c r="C118">
        <f>Data_Monthly!F116</f>
        <v>1.3559124072643403</v>
      </c>
    </row>
    <row r="119" spans="1:3" x14ac:dyDescent="0.25">
      <c r="A119">
        <f>Data_Monthly!A117</f>
        <v>42978</v>
      </c>
      <c r="B119">
        <f>Data_Monthly!E117</f>
        <v>1.4641728473368154</v>
      </c>
      <c r="C119">
        <f>Data_Monthly!F117</f>
        <v>1.3653379064982549</v>
      </c>
    </row>
    <row r="120" spans="1:3" x14ac:dyDescent="0.25">
      <c r="A120">
        <f>Data_Monthly!A118</f>
        <v>43007</v>
      </c>
      <c r="B120">
        <f>Data_Monthly!E118</f>
        <v>1.4724844768169276</v>
      </c>
      <c r="C120">
        <f>Data_Monthly!F118</f>
        <v>1.3736274810170306</v>
      </c>
    </row>
    <row r="121" spans="1:3" x14ac:dyDescent="0.25">
      <c r="A121">
        <f>Data_Monthly!A119</f>
        <v>43039</v>
      </c>
      <c r="B121">
        <f>Data_Monthly!E119</f>
        <v>1.4829910113639779</v>
      </c>
      <c r="C121">
        <f>Data_Monthly!F119</f>
        <v>1.3840461642366586</v>
      </c>
    </row>
    <row r="122" spans="1:3" x14ac:dyDescent="0.25">
      <c r="A122">
        <f>Data_Monthly!A120</f>
        <v>43069</v>
      </c>
      <c r="B122">
        <f>Data_Monthly!E120</f>
        <v>1.5069735988672988</v>
      </c>
      <c r="C122">
        <f>Data_Monthly!F120</f>
        <v>1.4051597724714588</v>
      </c>
    </row>
    <row r="123" spans="1:3" x14ac:dyDescent="0.25">
      <c r="A123">
        <f>Data_Monthly!A121</f>
        <v>43098</v>
      </c>
      <c r="B123">
        <f>Data_Monthly!E121</f>
        <v>1.5175094107461806</v>
      </c>
      <c r="C123">
        <f>Data_Monthly!F121</f>
        <v>1.4188100624493281</v>
      </c>
    </row>
    <row r="124" spans="1:3" x14ac:dyDescent="0.25">
      <c r="A124">
        <f>Data_Monthly!A122</f>
        <v>43131</v>
      </c>
      <c r="B124">
        <f>Data_Monthly!E122</f>
        <v>1.5574814764216949</v>
      </c>
      <c r="C124">
        <f>Data_Monthly!F122</f>
        <v>1.464873838785379</v>
      </c>
    </row>
    <row r="125" spans="1:3" x14ac:dyDescent="0.25">
      <c r="A125">
        <f>Data_Monthly!A123</f>
        <v>43159</v>
      </c>
      <c r="B125">
        <f>Data_Monthly!E123</f>
        <v>1.5248275839504672</v>
      </c>
      <c r="C125">
        <f>Data_Monthly!F123</f>
        <v>1.4280553163735179</v>
      </c>
    </row>
    <row r="126" spans="1:3" x14ac:dyDescent="0.25">
      <c r="A126">
        <f>Data_Monthly!A124</f>
        <v>43188</v>
      </c>
      <c r="B126">
        <f>Data_Monthly!E124</f>
        <v>1.5228660078966929</v>
      </c>
      <c r="C126">
        <f>Data_Monthly!F124</f>
        <v>1.4230473982537704</v>
      </c>
    </row>
    <row r="127" spans="1:3" x14ac:dyDescent="0.25">
      <c r="A127">
        <f>Data_Monthly!A125</f>
        <v>43220</v>
      </c>
      <c r="B127">
        <f>Data_Monthly!E125</f>
        <v>1.5139538074740375</v>
      </c>
      <c r="C127">
        <f>Data_Monthly!F125</f>
        <v>1.4184976010551928</v>
      </c>
    </row>
    <row r="128" spans="1:3" x14ac:dyDescent="0.25">
      <c r="A128">
        <f>Data_Monthly!A126</f>
        <v>43251</v>
      </c>
      <c r="B128">
        <f>Data_Monthly!E126</f>
        <v>1.5244933130310976</v>
      </c>
      <c r="C128">
        <f>Data_Monthly!F126</f>
        <v>1.4156715469845147</v>
      </c>
    </row>
    <row r="129" spans="1:3" x14ac:dyDescent="0.25">
      <c r="A129">
        <f>Data_Monthly!A127</f>
        <v>43280</v>
      </c>
      <c r="B129">
        <f>Data_Monthly!E127</f>
        <v>1.5229824443739588</v>
      </c>
      <c r="C129">
        <f>Data_Monthly!F127</f>
        <v>1.4081432723868754</v>
      </c>
    </row>
    <row r="130" spans="1:3" x14ac:dyDescent="0.25">
      <c r="A130">
        <f>Data_Monthly!A128</f>
        <v>43312</v>
      </c>
      <c r="B130">
        <f>Data_Monthly!E128</f>
        <v>1.5406465899208612</v>
      </c>
      <c r="C130">
        <f>Data_Monthly!F128</f>
        <v>1.4264719429122237</v>
      </c>
    </row>
    <row r="131" spans="1:3" x14ac:dyDescent="0.25">
      <c r="A131">
        <f>Data_Monthly!A129</f>
        <v>43343</v>
      </c>
      <c r="B131">
        <f>Data_Monthly!E129</f>
        <v>1.5599095871457553</v>
      </c>
      <c r="C131">
        <f>Data_Monthly!F129</f>
        <v>1.4328443226498628</v>
      </c>
    </row>
    <row r="132" spans="1:3" x14ac:dyDescent="0.25">
      <c r="A132">
        <f>Data_Monthly!A130</f>
        <v>43371</v>
      </c>
      <c r="B132">
        <f>Data_Monthly!E130</f>
        <v>1.5523829719371511</v>
      </c>
      <c r="C132">
        <f>Data_Monthly!F130</f>
        <v>1.4285868781701341</v>
      </c>
    </row>
    <row r="133" spans="1:3" x14ac:dyDescent="0.25">
      <c r="A133">
        <f>Data_Monthly!A131</f>
        <v>43404</v>
      </c>
      <c r="B133">
        <f>Data_Monthly!E131</f>
        <v>1.4921128565318875</v>
      </c>
      <c r="C133">
        <f>Data_Monthly!F131</f>
        <v>1.3651312845334975</v>
      </c>
    </row>
    <row r="134" spans="1:3" x14ac:dyDescent="0.25">
      <c r="A134">
        <f>Data_Monthly!A132</f>
        <v>43434</v>
      </c>
      <c r="B134">
        <f>Data_Monthly!E132</f>
        <v>1.505852960381266</v>
      </c>
      <c r="C134">
        <f>Data_Monthly!F132</f>
        <v>1.3763834248785016</v>
      </c>
    </row>
    <row r="135" spans="1:3" x14ac:dyDescent="0.25">
      <c r="A135">
        <f>Data_Monthly!A133</f>
        <v>43465</v>
      </c>
      <c r="B135">
        <f>Data_Monthly!E133</f>
        <v>1.4684362806430995</v>
      </c>
      <c r="C135">
        <f>Data_Monthly!F133</f>
        <v>1.3415928371100367</v>
      </c>
    </row>
    <row r="136" spans="1:3" x14ac:dyDescent="0.25">
      <c r="A136">
        <f>Data_Monthly!A134</f>
        <v>43496</v>
      </c>
      <c r="B136">
        <f>Data_Monthly!E134</f>
        <v>1.5304339544984653</v>
      </c>
      <c r="C136">
        <f>Data_Monthly!F134</f>
        <v>1.4035329217527199</v>
      </c>
    </row>
    <row r="137" spans="1:3" x14ac:dyDescent="0.25">
      <c r="A137">
        <f>Data_Monthly!A135</f>
        <v>43524</v>
      </c>
      <c r="B137">
        <f>Data_Monthly!E135</f>
        <v>1.5468956884795171</v>
      </c>
      <c r="C137">
        <f>Data_Monthly!F135</f>
        <v>1.4178345160077317</v>
      </c>
    </row>
    <row r="138" spans="1:3" x14ac:dyDescent="0.25">
      <c r="A138">
        <f>Data_Monthly!A136</f>
        <v>43553</v>
      </c>
      <c r="B138">
        <f>Data_Monthly!E136</f>
        <v>1.5676937396580821</v>
      </c>
      <c r="C138">
        <f>Data_Monthly!F136</f>
        <v>1.4341512748830034</v>
      </c>
    </row>
    <row r="139" spans="1:3" x14ac:dyDescent="0.25">
      <c r="A139">
        <f>Data_Monthly!A137</f>
        <v>43585</v>
      </c>
      <c r="B139">
        <f>Data_Monthly!E137</f>
        <v>1.5879924213956316</v>
      </c>
      <c r="C139">
        <f>Data_Monthly!F137</f>
        <v>1.4539787452102364</v>
      </c>
    </row>
    <row r="140" spans="1:3" x14ac:dyDescent="0.25">
      <c r="A140">
        <f>Data_Monthly!A138</f>
        <v>43616</v>
      </c>
      <c r="B140">
        <f>Data_Monthly!E138</f>
        <v>1.5625511212524494</v>
      </c>
      <c r="C140">
        <f>Data_Monthly!F138</f>
        <v>1.4240373429477713</v>
      </c>
    </row>
    <row r="141" spans="1:3" x14ac:dyDescent="0.25">
      <c r="A141">
        <f>Data_Monthly!A139</f>
        <v>43644</v>
      </c>
      <c r="B141">
        <f>Data_Monthly!E139</f>
        <v>1.623040325745021</v>
      </c>
      <c r="C141">
        <f>Data_Monthly!F139</f>
        <v>1.483062807997737</v>
      </c>
    </row>
    <row r="142" spans="1:3" x14ac:dyDescent="0.25">
      <c r="A142">
        <f>Data_Monthly!A140</f>
        <v>43677</v>
      </c>
      <c r="B142">
        <f>Data_Monthly!E140</f>
        <v>1.6283100650476761</v>
      </c>
      <c r="C142">
        <f>Data_Monthly!F140</f>
        <v>1.482977943661641</v>
      </c>
    </row>
    <row r="143" spans="1:3" x14ac:dyDescent="0.25">
      <c r="A143">
        <f>Data_Monthly!A141</f>
        <v>43707</v>
      </c>
      <c r="B143">
        <f>Data_Monthly!E141</f>
        <v>1.6343428539837144</v>
      </c>
      <c r="C143">
        <f>Data_Monthly!F141</f>
        <v>1.4807013454848994</v>
      </c>
    </row>
    <row r="144" spans="1:3" x14ac:dyDescent="0.25">
      <c r="A144">
        <f>Data_Monthly!A142</f>
        <v>43738</v>
      </c>
      <c r="B144">
        <f>Data_Monthly!E142</f>
        <v>1.6345329945212255</v>
      </c>
      <c r="C144">
        <f>Data_Monthly!F142</f>
        <v>1.4879521742364052</v>
      </c>
    </row>
    <row r="145" spans="1:3" x14ac:dyDescent="0.25">
      <c r="A145">
        <f>Data_Monthly!A143</f>
        <v>43769</v>
      </c>
      <c r="B145">
        <f>Data_Monthly!E143</f>
        <v>1.6564319020405307</v>
      </c>
      <c r="C145">
        <f>Data_Monthly!F143</f>
        <v>1.5121856323895393</v>
      </c>
    </row>
    <row r="146" spans="1:3" x14ac:dyDescent="0.25">
      <c r="A146">
        <f>Data_Monthly!A144</f>
        <v>43798</v>
      </c>
      <c r="B146">
        <f>Data_Monthly!E144</f>
        <v>1.6721243316100947</v>
      </c>
      <c r="C146">
        <f>Data_Monthly!F144</f>
        <v>1.5233965681403183</v>
      </c>
    </row>
    <row r="147" spans="1:3" x14ac:dyDescent="0.25">
      <c r="A147">
        <f>Data_Monthly!A145</f>
        <v>43830</v>
      </c>
      <c r="B147">
        <f>Data_Monthly!E145</f>
        <v>1.6976490186666338</v>
      </c>
      <c r="C147">
        <f>Data_Monthly!F145</f>
        <v>1.5538664813896319</v>
      </c>
    </row>
    <row r="148" spans="1:3" x14ac:dyDescent="0.25">
      <c r="A148">
        <f>Data_Monthly!A146</f>
        <v>43861</v>
      </c>
      <c r="B148">
        <f>Data_Monthly!E146</f>
        <v>1.7101954895002114</v>
      </c>
      <c r="C148">
        <f>Data_Monthly!F146</f>
        <v>1.554305103628377</v>
      </c>
    </row>
    <row r="149" spans="1:3" x14ac:dyDescent="0.25">
      <c r="A149">
        <f>Data_Monthly!A147</f>
        <v>43889</v>
      </c>
      <c r="B149">
        <f>Data_Monthly!E147</f>
        <v>1.6615421444523688</v>
      </c>
      <c r="C149">
        <f>Data_Monthly!F147</f>
        <v>1.4972224467885231</v>
      </c>
    </row>
    <row r="150" spans="1:3" x14ac:dyDescent="0.25">
      <c r="A150">
        <f>Data_Monthly!A148</f>
        <v>43921</v>
      </c>
      <c r="B150">
        <f>Data_Monthly!E148</f>
        <v>1.5453577423903866</v>
      </c>
      <c r="C150">
        <f>Data_Monthly!F148</f>
        <v>1.3712240945373149</v>
      </c>
    </row>
    <row r="151" spans="1:3" x14ac:dyDescent="0.25">
      <c r="A151">
        <f>Data_Monthly!A149</f>
        <v>43951</v>
      </c>
      <c r="B151">
        <f>Data_Monthly!E149</f>
        <v>1.6407634079418698</v>
      </c>
      <c r="C151">
        <f>Data_Monthly!F149</f>
        <v>1.4575843577758412</v>
      </c>
    </row>
    <row r="152" spans="1:3" x14ac:dyDescent="0.25">
      <c r="A152">
        <f>Data_Monthly!A150</f>
        <v>43980</v>
      </c>
      <c r="B152">
        <f>Data_Monthly!E150</f>
        <v>1.6831322512281177</v>
      </c>
      <c r="C152">
        <f>Data_Monthly!F150</f>
        <v>1.4941838204333018</v>
      </c>
    </row>
    <row r="153" spans="1:3" x14ac:dyDescent="0.25">
      <c r="A153">
        <f>Data_Monthly!A151</f>
        <v>44012</v>
      </c>
      <c r="B153">
        <f>Data_Monthly!E151</f>
        <v>1.7128054321432753</v>
      </c>
      <c r="C153">
        <f>Data_Monthly!F151</f>
        <v>1.5235320451499264</v>
      </c>
    </row>
    <row r="154" spans="1:3" x14ac:dyDescent="0.25">
      <c r="A154">
        <f>Data_Monthly!A152</f>
        <v>44043</v>
      </c>
      <c r="B154">
        <f>Data_Monthly!E152</f>
        <v>1.785175279719466</v>
      </c>
      <c r="C154">
        <f>Data_Monthly!F152</f>
        <v>1.5872370341507447</v>
      </c>
    </row>
    <row r="155" spans="1:3" x14ac:dyDescent="0.25">
      <c r="A155">
        <f>Data_Monthly!A153</f>
        <v>44074</v>
      </c>
      <c r="B155">
        <f>Data_Monthly!E153</f>
        <v>1.8330717705974136</v>
      </c>
      <c r="C155">
        <f>Data_Monthly!F153</f>
        <v>1.6327986619076724</v>
      </c>
    </row>
    <row r="156" spans="1:3" x14ac:dyDescent="0.25">
      <c r="A156">
        <f>Data_Monthly!A154</f>
        <v>44104</v>
      </c>
      <c r="B156">
        <f>Data_Monthly!E154</f>
        <v>1.8049352754581465</v>
      </c>
      <c r="C156">
        <f>Data_Monthly!F154</f>
        <v>1.6050750348563323</v>
      </c>
    </row>
    <row r="157" spans="1:3" x14ac:dyDescent="0.25">
      <c r="A157">
        <f>Data_Monthly!A155</f>
        <v>44134</v>
      </c>
      <c r="B157">
        <f>Data_Monthly!E155</f>
        <v>1.7871595234453537</v>
      </c>
      <c r="C157">
        <f>Data_Monthly!F155</f>
        <v>1.5884470824002559</v>
      </c>
    </row>
    <row r="158" spans="1:3" x14ac:dyDescent="0.25">
      <c r="A158">
        <f>Data_Monthly!A156</f>
        <v>44165</v>
      </c>
      <c r="B158">
        <f>Data_Monthly!E156</f>
        <v>1.8971134769369569</v>
      </c>
      <c r="C158">
        <f>Data_Monthly!F156</f>
        <v>1.7039194250183383</v>
      </c>
    </row>
    <row r="159" spans="1:3" x14ac:dyDescent="0.25">
      <c r="A159">
        <f>Data_Monthly!A157</f>
        <v>44196</v>
      </c>
      <c r="B159">
        <f>Data_Monthly!E157</f>
        <v>1.9494421507414845</v>
      </c>
      <c r="C159">
        <f>Data_Monthly!F157</f>
        <v>1.7571194122381548</v>
      </c>
    </row>
    <row r="160" spans="1:3" x14ac:dyDescent="0.25">
      <c r="A160">
        <f>Data_Monthly!A158</f>
        <v>44225</v>
      </c>
      <c r="B160">
        <f>Data_Monthly!E158</f>
        <v>1.9367316023455341</v>
      </c>
      <c r="C160">
        <f>Data_Monthly!F158</f>
        <v>1.7479185590254611</v>
      </c>
    </row>
    <row r="161" spans="1:3" x14ac:dyDescent="0.25">
      <c r="A161">
        <f>Data_Monthly!A159</f>
        <v>44253</v>
      </c>
      <c r="B161">
        <f>Data_Monthly!E159</f>
        <v>1.9347087188994896</v>
      </c>
      <c r="C161">
        <f>Data_Monthly!F159</f>
        <v>1.7554661084983838</v>
      </c>
    </row>
    <row r="162" spans="1:3" x14ac:dyDescent="0.25">
      <c r="A162">
        <f>Data_Monthly!A160</f>
        <v>44286</v>
      </c>
      <c r="B162">
        <f>Data_Monthly!E160</f>
        <v>1.9362353507285657</v>
      </c>
      <c r="C162">
        <f>Data_Monthly!F160</f>
        <v>1.7610297410914111</v>
      </c>
    </row>
    <row r="163" spans="1:3" x14ac:dyDescent="0.25">
      <c r="A163">
        <f>Data_Monthly!A161</f>
        <v>44316</v>
      </c>
      <c r="B163">
        <f>Data_Monthly!E161</f>
        <v>1.9877295871346969</v>
      </c>
      <c r="C163">
        <f>Data_Monthly!F161</f>
        <v>1.8097938026374125</v>
      </c>
    </row>
    <row r="164" spans="1:3" x14ac:dyDescent="0.25">
      <c r="A164">
        <f>Data_Monthly!A162</f>
        <v>44344</v>
      </c>
      <c r="B164">
        <f>Data_Monthly!E162</f>
        <v>2.0061899408706312</v>
      </c>
      <c r="C164">
        <f>Data_Monthly!F162</f>
        <v>1.8308119087001689</v>
      </c>
    </row>
    <row r="165" spans="1:3" x14ac:dyDescent="0.25">
      <c r="A165">
        <f>Data_Monthly!A163</f>
        <v>44377</v>
      </c>
      <c r="B165">
        <f>Data_Monthly!E163</f>
        <v>2.0136656241438864</v>
      </c>
      <c r="C165">
        <f>Data_Monthly!F163</f>
        <v>1.8346962785065253</v>
      </c>
    </row>
    <row r="166" spans="1:3" x14ac:dyDescent="0.25">
      <c r="A166">
        <f>Data_Monthly!A164</f>
        <v>44407</v>
      </c>
      <c r="B166">
        <f>Data_Monthly!E164</f>
        <v>2.0409560859183986</v>
      </c>
      <c r="C166">
        <f>Data_Monthly!F164</f>
        <v>1.8516985875665952</v>
      </c>
    </row>
    <row r="167" spans="1:3" x14ac:dyDescent="0.25">
      <c r="A167">
        <f>Data_Monthly!A165</f>
        <v>44439</v>
      </c>
      <c r="B167">
        <f>Data_Monthly!E165</f>
        <v>2.0569902832214244</v>
      </c>
      <c r="C167">
        <f>Data_Monthly!F165</f>
        <v>1.8696911410189683</v>
      </c>
    </row>
    <row r="168" spans="1:3" x14ac:dyDescent="0.25">
      <c r="A168">
        <f>Data_Monthly!A166</f>
        <v>44469</v>
      </c>
      <c r="B168">
        <f>Data_Monthly!E166</f>
        <v>1.9999593392798327</v>
      </c>
      <c r="C168">
        <f>Data_Monthly!F166</f>
        <v>1.8169346944917868</v>
      </c>
    </row>
    <row r="169" spans="1:3" x14ac:dyDescent="0.25">
      <c r="A169">
        <f>Data_Monthly!A167</f>
        <v>44498</v>
      </c>
      <c r="B169">
        <f>Data_Monthly!E167</f>
        <v>2.0448194013693395</v>
      </c>
      <c r="C169">
        <f>Data_Monthly!F167</f>
        <v>1.8573930858799264</v>
      </c>
    </row>
    <row r="170" spans="1:3" x14ac:dyDescent="0.25">
      <c r="A170">
        <f>Data_Monthly!A168</f>
        <v>44530</v>
      </c>
      <c r="B170">
        <f>Data_Monthly!E168</f>
        <v>2.0239232469363597</v>
      </c>
      <c r="C170">
        <f>Data_Monthly!F168</f>
        <v>1.8286675605123235</v>
      </c>
    </row>
    <row r="171" spans="1:3" x14ac:dyDescent="0.25">
      <c r="A171">
        <f>Data_Monthly!A169</f>
        <v>44561</v>
      </c>
      <c r="B171">
        <f>Data_Monthly!E169</f>
        <v>2.0538551438323043</v>
      </c>
      <c r="C171">
        <f>Data_Monthly!F169</f>
        <v>1.8636063798862039</v>
      </c>
    </row>
    <row r="172" spans="1:3" x14ac:dyDescent="0.25">
      <c r="A172">
        <f>Data_Monthly!A170</f>
        <v>44592</v>
      </c>
      <c r="B172">
        <f>Data_Monthly!E170</f>
        <v>1.9785015818001672</v>
      </c>
      <c r="C172">
        <f>Data_Monthly!F170</f>
        <v>1.794936420570777</v>
      </c>
    </row>
    <row r="173" spans="1:3" x14ac:dyDescent="0.25">
      <c r="A173">
        <f>Data_Monthly!A171</f>
        <v>44620</v>
      </c>
      <c r="B173">
        <f>Data_Monthly!E171</f>
        <v>1.9456274083091973</v>
      </c>
      <c r="C173">
        <f>Data_Monthly!F171</f>
        <v>1.7642214174742583</v>
      </c>
    </row>
    <row r="174" spans="1:3" x14ac:dyDescent="0.25">
      <c r="A174">
        <f>Data_Monthly!A172</f>
        <v>44651</v>
      </c>
      <c r="B174">
        <f>Data_Monthly!E172</f>
        <v>1.9348561695848077</v>
      </c>
      <c r="C174">
        <f>Data_Monthly!F172</f>
        <v>1.7585908888633894</v>
      </c>
    </row>
    <row r="175" spans="1:3" x14ac:dyDescent="0.25">
      <c r="A175">
        <f>Data_Monthly!A173</f>
        <v>44680</v>
      </c>
      <c r="B175">
        <f>Data_Monthly!E173</f>
        <v>1.8041321812393416</v>
      </c>
      <c r="C175">
        <f>Data_Monthly!F173</f>
        <v>1.6389091243155447</v>
      </c>
    </row>
    <row r="176" spans="1:3" x14ac:dyDescent="0.25">
      <c r="A176">
        <f>Data_Monthly!A174</f>
        <v>44712</v>
      </c>
      <c r="B176">
        <f>Data_Monthly!E174</f>
        <v>1.803126884220656</v>
      </c>
      <c r="C176">
        <f>Data_Monthly!F174</f>
        <v>1.639611971215966</v>
      </c>
    </row>
    <row r="177" spans="1:3" x14ac:dyDescent="0.25">
      <c r="A177">
        <f>Data_Monthly!A175</f>
        <v>44742</v>
      </c>
      <c r="B177">
        <f>Data_Monthly!E175</f>
        <v>1.7030428186963933</v>
      </c>
      <c r="C177">
        <f>Data_Monthly!F175</f>
        <v>1.5389560186908771</v>
      </c>
    </row>
    <row r="178" spans="1:3" x14ac:dyDescent="0.25">
      <c r="A178">
        <f>Data_Monthly!A176</f>
        <v>44771</v>
      </c>
      <c r="B178">
        <f>Data_Monthly!E176</f>
        <v>1.786514330300887</v>
      </c>
      <c r="C178">
        <f>Data_Monthly!F176</f>
        <v>1.6142381129581429</v>
      </c>
    </row>
    <row r="179" spans="1:3" x14ac:dyDescent="0.25">
      <c r="A179">
        <f>Data_Monthly!A177</f>
        <v>44804</v>
      </c>
      <c r="B179">
        <f>Data_Monthly!E177</f>
        <v>1.7139684465508052</v>
      </c>
      <c r="C179">
        <f>Data_Monthly!F177</f>
        <v>1.5535086798896791</v>
      </c>
    </row>
    <row r="180" spans="1:3" x14ac:dyDescent="0.25">
      <c r="A180">
        <f>Data_Monthly!A178</f>
        <v>44834</v>
      </c>
      <c r="B180">
        <f>Data_Monthly!E178</f>
        <v>1.5919699717292266</v>
      </c>
      <c r="C180">
        <f>Data_Monthly!F178</f>
        <v>1.4360506232217543</v>
      </c>
    </row>
    <row r="181" spans="1:3" x14ac:dyDescent="0.25">
      <c r="A181">
        <f>Data_Monthly!A179</f>
        <v>44865</v>
      </c>
      <c r="B181">
        <f>Data_Monthly!E179</f>
        <v>1.6334737690267458</v>
      </c>
      <c r="C181">
        <f>Data_Monthly!F179</f>
        <v>1.4785058112609035</v>
      </c>
    </row>
    <row r="182" spans="1:3" x14ac:dyDescent="0.25">
      <c r="A182">
        <f>Data_Monthly!A180</f>
        <v>44895</v>
      </c>
      <c r="B182">
        <f>Data_Monthly!E180</f>
        <v>1.727653750388352</v>
      </c>
      <c r="C182">
        <f>Data_Monthly!F180</f>
        <v>1.5718633432849336</v>
      </c>
    </row>
    <row r="183" spans="1:3" x14ac:dyDescent="0.25">
      <c r="A183">
        <f>Data_Monthly!A181</f>
        <v>44925</v>
      </c>
      <c r="B183">
        <f>Data_Monthly!E181</f>
        <v>1.6976904312420737</v>
      </c>
      <c r="C183">
        <f>Data_Monthly!F181</f>
        <v>1.5441392466113002</v>
      </c>
    </row>
    <row r="184" spans="1:3" x14ac:dyDescent="0.25">
      <c r="A184">
        <f>Data_Monthly!A182</f>
        <v>44957</v>
      </c>
      <c r="B184">
        <f>Data_Monthly!E182</f>
        <v>1.7806850675501631</v>
      </c>
      <c r="C184">
        <f>Data_Monthly!F182</f>
        <v>1.6264240437038564</v>
      </c>
    </row>
    <row r="185" spans="1:3" x14ac:dyDescent="0.25">
      <c r="A185">
        <f>Data_Monthly!A183</f>
        <v>44985</v>
      </c>
      <c r="B185">
        <f>Data_Monthly!E183</f>
        <v>1.7270520725834864</v>
      </c>
      <c r="C185">
        <f>Data_Monthly!F183</f>
        <v>1.5770654998666849</v>
      </c>
    </row>
    <row r="186" spans="1:3" x14ac:dyDescent="0.25">
      <c r="A186">
        <f>Data_Monthly!A184</f>
        <v>45016</v>
      </c>
      <c r="B186">
        <f>Data_Monthly!E184</f>
        <v>1.7817416952669662</v>
      </c>
      <c r="C186">
        <f>Data_Monthly!F184</f>
        <v>1.62100878691283</v>
      </c>
    </row>
    <row r="187" spans="1:3" x14ac:dyDescent="0.25">
      <c r="A187">
        <f>Data_Monthly!A185</f>
        <v>45044</v>
      </c>
      <c r="B187">
        <f>Data_Monthly!E185</f>
        <v>1.7957900493686836</v>
      </c>
      <c r="C187">
        <f>Data_Monthly!F185</f>
        <v>1.6348413981895282</v>
      </c>
    </row>
    <row r="188" spans="1:3" x14ac:dyDescent="0.25">
      <c r="A188">
        <f>Data_Monthly!A186</f>
        <v>45077</v>
      </c>
      <c r="B188">
        <f>Data_Monthly!E186</f>
        <v>1.7683468768763024</v>
      </c>
      <c r="C188">
        <f>Data_Monthly!F186</f>
        <v>1.6075525124222241</v>
      </c>
    </row>
    <row r="189" spans="1:3" x14ac:dyDescent="0.25">
      <c r="A189">
        <f>Data_Monthly!A187</f>
        <v>45107</v>
      </c>
      <c r="B189">
        <f>Data_Monthly!E187</f>
        <v>1.8129963951135717</v>
      </c>
      <c r="C189">
        <f>Data_Monthly!F187</f>
        <v>1.6557410312583072</v>
      </c>
    </row>
    <row r="190" spans="1:3" x14ac:dyDescent="0.25">
      <c r="A190">
        <f>Data_Monthly!A188</f>
        <v>45138</v>
      </c>
      <c r="B190">
        <f>Data_Monthly!E188</f>
        <v>1.8459882671759424</v>
      </c>
      <c r="C190">
        <f>Data_Monthly!F188</f>
        <v>1.6938429250951017</v>
      </c>
    </row>
    <row r="191" spans="1:3" x14ac:dyDescent="0.25">
      <c r="A191">
        <f>Data_Monthly!A189</f>
        <v>45169</v>
      </c>
      <c r="B191">
        <f>Data_Monthly!E189</f>
        <v>1.8107276473734955</v>
      </c>
      <c r="C191">
        <f>Data_Monthly!F189</f>
        <v>1.6572817903865904</v>
      </c>
    </row>
    <row r="192" spans="1:3" x14ac:dyDescent="0.25">
      <c r="A192">
        <f>Data_Monthly!A190</f>
        <v>45198</v>
      </c>
      <c r="B192">
        <f>Data_Monthly!E190</f>
        <v>1.7464135253195501</v>
      </c>
      <c r="C192">
        <f>Data_Monthly!F190</f>
        <v>1.5987706345038333</v>
      </c>
    </row>
    <row r="193" spans="1:3" x14ac:dyDescent="0.25">
      <c r="A193">
        <f>Data_Monthly!A191</f>
        <v>45230</v>
      </c>
      <c r="B193">
        <f>Data_Monthly!E191</f>
        <v>1.7128591552243406</v>
      </c>
      <c r="C193">
        <f>Data_Monthly!F191</f>
        <v>1.5621654922756447</v>
      </c>
    </row>
    <row r="194" spans="1:3" x14ac:dyDescent="0.25">
      <c r="A194">
        <f>Data_Monthly!A192</f>
        <v>45260</v>
      </c>
      <c r="B194">
        <f>Data_Monthly!E192</f>
        <v>1.8296709166895033</v>
      </c>
      <c r="C194">
        <f>Data_Monthly!F192</f>
        <v>1.6735321433199006</v>
      </c>
    </row>
    <row r="195" spans="1:3" x14ac:dyDescent="0.25">
      <c r="A195">
        <f>Data_Monthly!A193</f>
        <v>45289</v>
      </c>
      <c r="B195">
        <f>Data_Monthly!E193</f>
        <v>1.9117612495568492</v>
      </c>
      <c r="C195">
        <f>Data_Monthly!F193</f>
        <v>1.7529884509261642</v>
      </c>
    </row>
    <row r="196" spans="1:3" x14ac:dyDescent="0.25">
      <c r="A196">
        <f>Data_Monthly!A194</f>
        <v>45322</v>
      </c>
      <c r="B196">
        <f>Data_Monthly!E194</f>
        <v>1.9022894277050619</v>
      </c>
      <c r="C196">
        <f>Data_Monthly!F194</f>
        <v>1.7436226642435508</v>
      </c>
    </row>
    <row r="197" spans="1:3" x14ac:dyDescent="0.25">
      <c r="A197">
        <f>Data_Monthly!A195</f>
        <v>45351</v>
      </c>
      <c r="B197">
        <f>Data_Monthly!E195</f>
        <v>1.9292591983416463</v>
      </c>
      <c r="C197">
        <f>Data_Monthly!F195</f>
        <v>1.7721333409978712</v>
      </c>
    </row>
    <row r="198" spans="1:3" x14ac:dyDescent="0.25">
      <c r="A198">
        <f>Data_Monthly!A196</f>
        <v>45379</v>
      </c>
      <c r="B198">
        <f>Data_Monthly!E196</f>
        <v>1.9589560138451103</v>
      </c>
      <c r="C198">
        <f>Data_Monthly!F196</f>
        <v>1.8067207411841517</v>
      </c>
    </row>
    <row r="199" spans="1:3" x14ac:dyDescent="0.25">
      <c r="A199">
        <f>Data_Monthly!A197</f>
        <v>45412</v>
      </c>
      <c r="B199">
        <f>Data_Monthly!E197</f>
        <v>1.8993205469627419</v>
      </c>
      <c r="C199">
        <f>Data_Monthly!F197</f>
        <v>1.7535414252123824</v>
      </c>
    </row>
    <row r="200" spans="1:3" x14ac:dyDescent="0.25">
      <c r="A200">
        <f>Data_Monthly!A198</f>
        <v>45443</v>
      </c>
      <c r="B200">
        <f>Data_Monthly!E198</f>
        <v>1.9473954740555017</v>
      </c>
      <c r="C200">
        <f>Data_Monthly!F198</f>
        <v>1.8012284157603495</v>
      </c>
    </row>
    <row r="201" spans="1:3" x14ac:dyDescent="0.25">
      <c r="A201">
        <f>Data_Monthly!A199</f>
        <v>45471</v>
      </c>
      <c r="B201">
        <f>Data_Monthly!E199</f>
        <v>1.9738921216788758</v>
      </c>
      <c r="C201">
        <f>Data_Monthly!F199</f>
        <v>1.8188218226756911</v>
      </c>
    </row>
    <row r="202" spans="1:3" x14ac:dyDescent="0.25">
      <c r="A202">
        <f>Data_Monthly!A200</f>
        <v>45504</v>
      </c>
      <c r="B202">
        <f>Data_Monthly!E200</f>
        <v>2.0158591130027483</v>
      </c>
      <c r="C202">
        <f>Data_Monthly!F200</f>
        <v>1.8629989240358049</v>
      </c>
    </row>
    <row r="203" spans="1:3" x14ac:dyDescent="0.25">
      <c r="A203">
        <f>Data_Monthly!A201</f>
        <v>45534</v>
      </c>
      <c r="B203">
        <f>Data_Monthly!E201</f>
        <v>2.0601348275645037</v>
      </c>
      <c r="C203">
        <f>Data_Monthly!F201</f>
        <v>1.9068259699314658</v>
      </c>
    </row>
    <row r="204" spans="1:3" x14ac:dyDescent="0.25">
      <c r="A204">
        <f>Data_Monthly!A202</f>
        <v>45565</v>
      </c>
      <c r="B204">
        <f>Data_Monthly!E202</f>
        <v>2.0998467859253056</v>
      </c>
      <c r="C204">
        <f>Data_Monthly!F202</f>
        <v>1.9455536690328923</v>
      </c>
    </row>
    <row r="205" spans="1:3" x14ac:dyDescent="0.25">
      <c r="A205">
        <f>Data_Monthly!A203</f>
        <v>45596</v>
      </c>
      <c r="B205">
        <f>Data_Monthly!E203</f>
        <v>2.0459895659688945</v>
      </c>
      <c r="C205">
        <f>Data_Monthly!F203</f>
        <v>1.8909053725517948</v>
      </c>
    </row>
    <row r="206" spans="1:3" x14ac:dyDescent="0.25">
      <c r="A206">
        <f>Data_Monthly!A204</f>
        <v>45625</v>
      </c>
      <c r="B206">
        <f>Data_Monthly!E204</f>
        <v>2.0931750051305236</v>
      </c>
      <c r="C206">
        <f>Data_Monthly!F204</f>
        <v>1.9314452535792521</v>
      </c>
    </row>
    <row r="207" spans="1:3" x14ac:dyDescent="0.25">
      <c r="A207">
        <f>Data_Monthly!A205</f>
        <v>45657</v>
      </c>
      <c r="B207">
        <f>Data_Monthly!E205</f>
        <v>2.0466073588968743</v>
      </c>
      <c r="C207">
        <f>Data_Monthly!F205</f>
        <v>1.8853050659592387</v>
      </c>
    </row>
    <row r="208" spans="1:3" x14ac:dyDescent="0.25">
      <c r="A208">
        <f>Data_Monthly!A206</f>
        <v>45688</v>
      </c>
      <c r="B208">
        <f>Data_Monthly!E206</f>
        <v>2.0813167362868712</v>
      </c>
      <c r="C208">
        <f>Data_Monthly!F206</f>
        <v>1.9248746884333301</v>
      </c>
    </row>
    <row r="209" spans="1:3" x14ac:dyDescent="0.25">
      <c r="A209">
        <f>Data_Monthly!A207</f>
        <v>45716</v>
      </c>
      <c r="B209">
        <f>Data_Monthly!E207</f>
        <v>2.0818833558769447</v>
      </c>
      <c r="C209">
        <f>Data_Monthly!F207</f>
        <v>1.9273361059818301</v>
      </c>
    </row>
    <row r="210" spans="1:3" x14ac:dyDescent="0.25">
      <c r="A210">
        <f>Data_Monthly!A208</f>
        <v>45747</v>
      </c>
      <c r="B210">
        <f>Data_Monthly!E208</f>
        <v>2.0385887346620817</v>
      </c>
      <c r="C210">
        <f>Data_Monthly!F208</f>
        <v>1.890994903810401</v>
      </c>
    </row>
    <row r="211" spans="1:3" x14ac:dyDescent="0.25">
      <c r="A211">
        <f>Data_Monthly!A209</f>
        <v>45777</v>
      </c>
      <c r="B211">
        <f>Data_Monthly!E209</f>
        <v>2.0713754131649775</v>
      </c>
      <c r="C211">
        <f>Data_Monthly!F209</f>
        <v>1.9254350898546271</v>
      </c>
    </row>
    <row r="212" spans="1:3" x14ac:dyDescent="0.25">
      <c r="A212">
        <f>Data_Monthly!A210</f>
        <v>45807</v>
      </c>
      <c r="B212">
        <f>Data_Monthly!E210</f>
        <v>2.1240726027352936</v>
      </c>
      <c r="C212">
        <f>Data_Monthly!F210</f>
        <v>1.9845561572583235</v>
      </c>
    </row>
    <row r="213" spans="1:3" x14ac:dyDescent="0.25">
      <c r="A213">
        <f>Data_Monthly!A211</f>
        <v>45838</v>
      </c>
      <c r="B213">
        <f>Data_Monthly!E211</f>
        <v>2.1918353748638313</v>
      </c>
      <c r="C213">
        <f>Data_Monthly!F211</f>
        <v>2.0512671605969062</v>
      </c>
    </row>
    <row r="214" spans="1:3" x14ac:dyDescent="0.25">
      <c r="A214">
        <f>Data_Monthly!A212</f>
        <v>45869</v>
      </c>
      <c r="B214">
        <f>Data_Monthly!E212</f>
        <v>2.1934110704995042</v>
      </c>
      <c r="C214">
        <f>Data_Monthly!F212</f>
        <v>2.0540737972515695</v>
      </c>
    </row>
    <row r="215" spans="1:3" x14ac:dyDescent="0.25">
      <c r="A215">
        <f>Data_Monthly!A213</f>
        <v>45898</v>
      </c>
      <c r="B215">
        <f>Data_Monthly!E213</f>
        <v>2.2331145629319584</v>
      </c>
      <c r="C215">
        <f>Data_Monthly!F213</f>
        <v>2.0982492837320099</v>
      </c>
    </row>
    <row r="216" spans="1:3" x14ac:dyDescent="0.25">
      <c r="A216">
        <f>Data_Monthly!A214</f>
        <v>45930</v>
      </c>
      <c r="B216">
        <f>Data_Monthly!E214</f>
        <v>2.2803940574982211</v>
      </c>
      <c r="C216">
        <f>Data_Monthly!F214</f>
        <v>2.145082611887756</v>
      </c>
    </row>
    <row r="217" spans="1:3" x14ac:dyDescent="0.25">
      <c r="A217">
        <f>Data_Monthly!A215</f>
        <v>45961</v>
      </c>
      <c r="B217">
        <f>Data_Monthly!E215</f>
        <v>2.3027352187334933</v>
      </c>
      <c r="C217">
        <f>Data_Monthly!F215</f>
        <v>2.167070279700519</v>
      </c>
    </row>
    <row r="218" spans="1:3" x14ac:dyDescent="0.25">
      <c r="A218">
        <f>Data_Monthly!A216</f>
        <v>45989</v>
      </c>
      <c r="B218">
        <f>Data_Monthly!E216</f>
        <v>2.3045858124102025</v>
      </c>
      <c r="C218">
        <f>Data_Monthly!F216</f>
        <v>2.1720035586754269</v>
      </c>
    </row>
    <row r="219" spans="1:3" x14ac:dyDescent="0.25">
      <c r="A219">
        <f>Data_Monthly!A217</f>
        <v>46022</v>
      </c>
      <c r="B219">
        <f>Data_Monthly!E217</f>
        <v>2.3105754030527765</v>
      </c>
      <c r="C219">
        <f>Data_Monthly!F217</f>
        <v>2.1861215460762571</v>
      </c>
    </row>
  </sheetData>
  <phoneticPr fontId="4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7"/>
  <sheetViews>
    <sheetView workbookViewId="0"/>
  </sheetViews>
  <sheetFormatPr defaultRowHeight="14.4" x14ac:dyDescent="0.25"/>
  <sheetData>
    <row r="1" spans="1:18" ht="15.6" x14ac:dyDescent="0.25">
      <c r="A1" s="3" t="s">
        <v>27</v>
      </c>
    </row>
    <row r="2" spans="1:1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</row>
    <row r="3" spans="1:18" x14ac:dyDescent="0.25">
      <c r="A3" t="s">
        <v>46</v>
      </c>
    </row>
    <row r="4" spans="1:18" x14ac:dyDescent="0.25">
      <c r="A4">
        <v>2008</v>
      </c>
      <c r="B4">
        <v>0.1058939345972784</v>
      </c>
      <c r="C4">
        <v>0.1167897966072956</v>
      </c>
      <c r="D4">
        <v>8.9659428464643511E-3</v>
      </c>
      <c r="E4">
        <v>1.0367840294926231E-2</v>
      </c>
      <c r="F4">
        <v>0.1128147471868081</v>
      </c>
      <c r="G4">
        <v>0.1147702373793507</v>
      </c>
      <c r="H4">
        <v>1.233338720635275E-2</v>
      </c>
      <c r="I4">
        <v>1.304851502140118E-2</v>
      </c>
      <c r="J4">
        <v>2.7058690714584631E-2</v>
      </c>
      <c r="K4">
        <v>2.5615951919847751E-2</v>
      </c>
      <c r="L4">
        <v>3.6886973563127362E-3</v>
      </c>
      <c r="M4">
        <v>3.642925297782082E-3</v>
      </c>
      <c r="N4">
        <v>0.15260138409348631</v>
      </c>
      <c r="O4">
        <v>0.2425288435229534</v>
      </c>
      <c r="P4">
        <v>1.8546166600385071E-2</v>
      </c>
      <c r="Q4">
        <v>1.629169921313009E-2</v>
      </c>
      <c r="R4">
        <v>1.504124014164071E-2</v>
      </c>
    </row>
    <row r="5" spans="1:18" x14ac:dyDescent="0.25">
      <c r="A5">
        <v>2009</v>
      </c>
      <c r="B5">
        <v>8.5049805905854356E-2</v>
      </c>
      <c r="C5">
        <v>8.4437075390257077E-2</v>
      </c>
      <c r="D5">
        <v>7.5043942070935664E-3</v>
      </c>
      <c r="E5">
        <v>6.7619963447210557E-3</v>
      </c>
      <c r="F5">
        <v>7.7835687486310229E-2</v>
      </c>
      <c r="G5">
        <v>8.2676745551051395E-2</v>
      </c>
      <c r="H5">
        <v>6.758140504540198E-3</v>
      </c>
      <c r="I5">
        <v>7.6712065490745652E-3</v>
      </c>
      <c r="J5">
        <v>1.6617663935064149E-2</v>
      </c>
      <c r="K5">
        <v>1.517927000735984E-2</v>
      </c>
      <c r="L5">
        <v>2.117225775161304E-3</v>
      </c>
      <c r="M5">
        <v>2.0864751526585381E-3</v>
      </c>
      <c r="N5">
        <v>0.21822708013570111</v>
      </c>
      <c r="O5">
        <v>0.33160501870030651</v>
      </c>
      <c r="P5">
        <v>2.3330857140957499E-2</v>
      </c>
      <c r="Q5">
        <v>2.046542802032068E-2</v>
      </c>
      <c r="R5">
        <v>1.1675929193568E-2</v>
      </c>
    </row>
    <row r="6" spans="1:18" x14ac:dyDescent="0.25">
      <c r="A6">
        <v>2010</v>
      </c>
      <c r="B6">
        <v>8.2033552859674355E-2</v>
      </c>
      <c r="C6">
        <v>8.4239255207748942E-2</v>
      </c>
      <c r="D6">
        <v>7.2502358530774826E-3</v>
      </c>
      <c r="E6">
        <v>6.859505369641479E-3</v>
      </c>
      <c r="F6">
        <v>8.4125744300783484E-2</v>
      </c>
      <c r="G6">
        <v>8.5388863287956765E-2</v>
      </c>
      <c r="H6">
        <v>1.0241738518527671E-2</v>
      </c>
      <c r="I6">
        <v>1.024748890395309E-2</v>
      </c>
      <c r="J6">
        <v>2.3743683128008421E-2</v>
      </c>
      <c r="K6">
        <v>2.4559454821684059E-2</v>
      </c>
      <c r="L6">
        <v>3.185063102655203E-3</v>
      </c>
      <c r="M6">
        <v>3.279587159082502E-3</v>
      </c>
      <c r="N6">
        <v>0.204433168166617</v>
      </c>
      <c r="O6">
        <v>0.31351798439040057</v>
      </c>
      <c r="P6">
        <v>2.1262649041304621E-2</v>
      </c>
      <c r="Q6">
        <v>1.837763739795608E-2</v>
      </c>
      <c r="R6">
        <v>1.7254388490928269E-2</v>
      </c>
    </row>
    <row r="7" spans="1:18" x14ac:dyDescent="0.25">
      <c r="A7">
        <v>2011</v>
      </c>
      <c r="B7">
        <v>8.6912288672433821E-2</v>
      </c>
      <c r="C7">
        <v>8.8477694668029502E-2</v>
      </c>
      <c r="D7">
        <v>7.759647758403509E-3</v>
      </c>
      <c r="E7">
        <v>8.1362855955130122E-3</v>
      </c>
      <c r="F7">
        <v>8.0997740856656522E-2</v>
      </c>
      <c r="G7">
        <v>8.4398284677611887E-2</v>
      </c>
      <c r="H7">
        <v>1.1322231990753041E-2</v>
      </c>
      <c r="I7">
        <v>1.200086672001956E-2</v>
      </c>
      <c r="J7">
        <v>2.55927089452231E-2</v>
      </c>
      <c r="K7">
        <v>2.570768388261694E-2</v>
      </c>
      <c r="L7">
        <v>3.5787454320726389E-3</v>
      </c>
      <c r="M7">
        <v>3.541353438939712E-3</v>
      </c>
      <c r="N7">
        <v>0.20362666088018641</v>
      </c>
      <c r="O7">
        <v>0.30229149814890122</v>
      </c>
      <c r="P7">
        <v>2.0546184781364819E-2</v>
      </c>
      <c r="Q7">
        <v>1.632220323098536E-2</v>
      </c>
      <c r="R7">
        <v>1.878792032028893E-2</v>
      </c>
    </row>
    <row r="8" spans="1:18" x14ac:dyDescent="0.25">
      <c r="A8">
        <v>2012</v>
      </c>
      <c r="B8">
        <v>8.7575833404464468E-2</v>
      </c>
      <c r="C8">
        <v>8.7230375764833071E-2</v>
      </c>
      <c r="D8">
        <v>7.4659555870474244E-3</v>
      </c>
      <c r="E8">
        <v>7.4992696782482694E-3</v>
      </c>
      <c r="F8">
        <v>7.1996565470828389E-2</v>
      </c>
      <c r="G8">
        <v>7.2228537833481349E-2</v>
      </c>
      <c r="H8">
        <v>9.9621808156598202E-3</v>
      </c>
      <c r="I8">
        <v>1.000400946351016E-2</v>
      </c>
      <c r="J8">
        <v>2.1122758046568098E-2</v>
      </c>
      <c r="K8">
        <v>2.1972259331127519E-2</v>
      </c>
      <c r="L8">
        <v>2.778549730367647E-3</v>
      </c>
      <c r="M8">
        <v>2.786002686799776E-3</v>
      </c>
      <c r="N8">
        <v>0.21571233206438739</v>
      </c>
      <c r="O8">
        <v>0.32038881390882279</v>
      </c>
      <c r="P8">
        <v>2.4547264601102309E-2</v>
      </c>
      <c r="Q8">
        <v>1.7390200133020998E-2</v>
      </c>
      <c r="R8">
        <v>1.933909147973048E-2</v>
      </c>
    </row>
    <row r="9" spans="1:18" x14ac:dyDescent="0.25">
      <c r="A9">
        <v>2013</v>
      </c>
      <c r="B9">
        <v>9.1846532773968356E-2</v>
      </c>
      <c r="C9">
        <v>8.6884756637640878E-2</v>
      </c>
      <c r="D9">
        <v>7.6233644633591788E-3</v>
      </c>
      <c r="E9">
        <v>7.1395296214425523E-3</v>
      </c>
      <c r="F9">
        <v>7.4541440989206009E-2</v>
      </c>
      <c r="G9">
        <v>7.4922869130047781E-2</v>
      </c>
      <c r="H9">
        <v>1.0283559303562621E-2</v>
      </c>
      <c r="I9">
        <v>1.003694828854907E-2</v>
      </c>
      <c r="J9">
        <v>2.274295982349327E-2</v>
      </c>
      <c r="K9">
        <v>2.4107564316859911E-2</v>
      </c>
      <c r="L9">
        <v>3.0853602744226418E-3</v>
      </c>
      <c r="M9">
        <v>3.0619943788503532E-3</v>
      </c>
      <c r="N9">
        <v>0.2085927418055156</v>
      </c>
      <c r="O9">
        <v>0.31119757699955553</v>
      </c>
      <c r="P9">
        <v>2.534237227530162E-2</v>
      </c>
      <c r="Q9">
        <v>1.6502833564273019E-2</v>
      </c>
      <c r="R9">
        <v>2.208759535395172E-2</v>
      </c>
    </row>
    <row r="10" spans="1:18" x14ac:dyDescent="0.25">
      <c r="A10">
        <v>2014</v>
      </c>
      <c r="B10">
        <v>0.10511785766118691</v>
      </c>
      <c r="C10">
        <v>0.1095414940862625</v>
      </c>
      <c r="D10">
        <v>9.1543276711176375E-3</v>
      </c>
      <c r="E10">
        <v>9.6980434938447203E-3</v>
      </c>
      <c r="F10">
        <v>8.1400759840005915E-2</v>
      </c>
      <c r="G10">
        <v>8.2038933112723103E-2</v>
      </c>
      <c r="H10">
        <v>1.1425146837369501E-2</v>
      </c>
      <c r="I10">
        <v>1.1622872896267259E-2</v>
      </c>
      <c r="J10">
        <v>1.9701926450924851E-2</v>
      </c>
      <c r="K10">
        <v>2.1312683469610159E-2</v>
      </c>
      <c r="L10">
        <v>2.983910905791962E-3</v>
      </c>
      <c r="M10">
        <v>2.9382934500933478E-3</v>
      </c>
      <c r="N10">
        <v>0.18866479552246981</v>
      </c>
      <c r="O10">
        <v>0.28271893569014878</v>
      </c>
      <c r="P10">
        <v>2.4081660774305701E-2</v>
      </c>
      <c r="Q10">
        <v>1.431305082167777E-2</v>
      </c>
      <c r="R10">
        <v>2.32853073162002E-2</v>
      </c>
    </row>
    <row r="11" spans="1:18" x14ac:dyDescent="0.25">
      <c r="A11">
        <v>2015</v>
      </c>
      <c r="B11">
        <v>0.11430186105872581</v>
      </c>
      <c r="C11">
        <v>0.1174682814800372</v>
      </c>
      <c r="D11">
        <v>9.6633919043090186E-3</v>
      </c>
      <c r="E11">
        <v>9.7747842496963572E-3</v>
      </c>
      <c r="F11">
        <v>7.4219881535772206E-2</v>
      </c>
      <c r="G11">
        <v>7.6392313815460522E-2</v>
      </c>
      <c r="H11">
        <v>1.10509563923576E-2</v>
      </c>
      <c r="I11">
        <v>1.09721263166765E-2</v>
      </c>
      <c r="J11">
        <v>1.8876328837739959E-2</v>
      </c>
      <c r="K11">
        <v>2.124778252721593E-2</v>
      </c>
      <c r="L11">
        <v>3.1740773202386212E-3</v>
      </c>
      <c r="M11">
        <v>3.1422660236120978E-3</v>
      </c>
      <c r="N11">
        <v>0.19393909276480559</v>
      </c>
      <c r="O11">
        <v>0.27126002796664878</v>
      </c>
      <c r="P11">
        <v>2.63008258108667E-2</v>
      </c>
      <c r="Q11">
        <v>1.477378537910908E-2</v>
      </c>
      <c r="R11">
        <v>2.344221661672808E-2</v>
      </c>
    </row>
    <row r="12" spans="1:18" x14ac:dyDescent="0.25">
      <c r="A12">
        <v>2016</v>
      </c>
      <c r="B12">
        <v>0.11072821055700539</v>
      </c>
      <c r="C12">
        <v>0.1185324580823582</v>
      </c>
      <c r="D12">
        <v>9.3567226659872615E-3</v>
      </c>
      <c r="E12">
        <v>9.5614668210312094E-3</v>
      </c>
      <c r="F12">
        <v>7.3507625230091356E-2</v>
      </c>
      <c r="G12">
        <v>7.5467043607415227E-2</v>
      </c>
      <c r="H12">
        <v>1.141046962111973E-2</v>
      </c>
      <c r="I12">
        <v>1.1934767151834089E-2</v>
      </c>
      <c r="J12">
        <v>1.8753284273971622E-2</v>
      </c>
      <c r="K12">
        <v>1.926276891320166E-2</v>
      </c>
      <c r="L12">
        <v>3.1925095491848791E-3</v>
      </c>
      <c r="M12">
        <v>3.2676297842507578E-3</v>
      </c>
      <c r="N12">
        <v>0.2036295253327311</v>
      </c>
      <c r="O12">
        <v>0.26534104429846289</v>
      </c>
      <c r="P12">
        <v>2.654485160609725E-2</v>
      </c>
      <c r="Q12">
        <v>1.5398285986329649E-2</v>
      </c>
      <c r="R12">
        <v>2.411133651892771E-2</v>
      </c>
    </row>
    <row r="13" spans="1:18" x14ac:dyDescent="0.25">
      <c r="A13">
        <v>2017</v>
      </c>
      <c r="B13">
        <v>0.1182516927760585</v>
      </c>
      <c r="C13">
        <v>0.11297560362514809</v>
      </c>
      <c r="D13">
        <v>1.0529378729659131E-2</v>
      </c>
      <c r="E13">
        <v>9.4723866959443986E-3</v>
      </c>
      <c r="F13">
        <v>7.4331620571657861E-2</v>
      </c>
      <c r="G13">
        <v>6.8818687807422035E-2</v>
      </c>
      <c r="H13">
        <v>1.185896480130562E-2</v>
      </c>
      <c r="I13">
        <v>1.1355590507382111E-2</v>
      </c>
      <c r="J13">
        <v>2.0706011398922992E-2</v>
      </c>
      <c r="K13">
        <v>2.0297256506738501E-2</v>
      </c>
      <c r="L13">
        <v>3.181233717553853E-3</v>
      </c>
      <c r="M13">
        <v>3.1819147203520281E-3</v>
      </c>
      <c r="N13">
        <v>0.20489478839877329</v>
      </c>
      <c r="O13">
        <v>0.26229841859832742</v>
      </c>
      <c r="P13">
        <v>2.738092580095559E-2</v>
      </c>
      <c r="Q13">
        <v>1.4873062034858839E-2</v>
      </c>
      <c r="R13">
        <v>2.55924633089397E-2</v>
      </c>
    </row>
    <row r="14" spans="1:18" x14ac:dyDescent="0.25">
      <c r="A14">
        <v>2018</v>
      </c>
      <c r="B14">
        <v>0.11635533128776659</v>
      </c>
      <c r="C14">
        <v>0.1184355381859967</v>
      </c>
      <c r="D14">
        <v>9.3041981613325615E-3</v>
      </c>
      <c r="E14">
        <v>1.000769005180813E-2</v>
      </c>
      <c r="F14">
        <v>7.597589032417193E-2</v>
      </c>
      <c r="G14">
        <v>7.6955794885002482E-2</v>
      </c>
      <c r="H14">
        <v>1.3245480447489291E-2</v>
      </c>
      <c r="I14">
        <v>1.329582800169884E-2</v>
      </c>
      <c r="J14">
        <v>2.500509700273738E-2</v>
      </c>
      <c r="K14">
        <v>2.5279572754661691E-2</v>
      </c>
      <c r="L14">
        <v>3.7539855757624729E-3</v>
      </c>
      <c r="M14">
        <v>3.8243119358648422E-3</v>
      </c>
      <c r="N14">
        <v>0.18742834861114319</v>
      </c>
      <c r="O14">
        <v>0.25691364528737082</v>
      </c>
      <c r="P14">
        <v>2.659715878953689E-2</v>
      </c>
      <c r="Q14">
        <v>1.3510810042301589E-2</v>
      </c>
      <c r="R14">
        <v>2.4111318655354669E-2</v>
      </c>
    </row>
    <row r="15" spans="1:18" x14ac:dyDescent="0.25">
      <c r="A15">
        <v>2019</v>
      </c>
      <c r="B15">
        <v>0.1160671187111967</v>
      </c>
      <c r="C15">
        <v>0.1137817819289664</v>
      </c>
      <c r="D15">
        <v>8.5602281929877504E-3</v>
      </c>
      <c r="E15">
        <v>8.9551554099255633E-3</v>
      </c>
      <c r="F15">
        <v>6.7510098304014013E-2</v>
      </c>
      <c r="G15">
        <v>6.7183147099018056E-2</v>
      </c>
      <c r="H15">
        <v>1.134179745571004E-2</v>
      </c>
      <c r="I15">
        <v>1.1120458931495471E-2</v>
      </c>
      <c r="J15">
        <v>2.3881781039560221E-2</v>
      </c>
      <c r="K15">
        <v>2.3467353839489051E-2</v>
      </c>
      <c r="L15">
        <v>3.0374696137412129E-3</v>
      </c>
      <c r="M15">
        <v>2.964364621958801E-3</v>
      </c>
      <c r="N15">
        <v>0.20535611995661471</v>
      </c>
      <c r="O15">
        <v>0.27171284518338118</v>
      </c>
      <c r="P15">
        <v>2.7920808775286701E-2</v>
      </c>
      <c r="Q15">
        <v>1.467713164224178E-2</v>
      </c>
      <c r="R15">
        <v>2.2462339294412249E-2</v>
      </c>
    </row>
    <row r="16" spans="1:18" x14ac:dyDescent="0.25">
      <c r="A16">
        <v>2020</v>
      </c>
      <c r="B16">
        <v>0.1202709528905076</v>
      </c>
      <c r="C16">
        <v>0.12768542727861271</v>
      </c>
      <c r="D16">
        <v>8.5680274400609623E-3</v>
      </c>
      <c r="E16">
        <v>8.886864559911941E-3</v>
      </c>
      <c r="F16">
        <v>6.8192660382868669E-2</v>
      </c>
      <c r="G16">
        <v>6.8645463904874235E-2</v>
      </c>
      <c r="H16">
        <v>1.141358182577515E-2</v>
      </c>
      <c r="I16">
        <v>1.176473059876057E-2</v>
      </c>
      <c r="J16">
        <v>2.5615413685993751E-2</v>
      </c>
      <c r="K16">
        <v>2.64019904517711E-2</v>
      </c>
      <c r="L16">
        <v>3.0250574501905249E-3</v>
      </c>
      <c r="M16">
        <v>3.0479554282018509E-3</v>
      </c>
      <c r="N16">
        <v>0.19389626715000999</v>
      </c>
      <c r="O16">
        <v>0.26254526654737032</v>
      </c>
      <c r="P16">
        <v>2.585195977044023E-2</v>
      </c>
      <c r="Q16">
        <v>1.349792330763515E-2</v>
      </c>
      <c r="R16">
        <v>2.0690457327015299E-2</v>
      </c>
    </row>
    <row r="17" spans="1:18" x14ac:dyDescent="0.25">
      <c r="A17">
        <v>2021</v>
      </c>
      <c r="B17">
        <v>0.1222150662567764</v>
      </c>
      <c r="C17">
        <v>0.13105886002092881</v>
      </c>
      <c r="D17">
        <v>8.402544816993868E-3</v>
      </c>
      <c r="E17">
        <v>9.1224767296764833E-3</v>
      </c>
      <c r="F17">
        <v>6.2975790416161984E-2</v>
      </c>
      <c r="G17">
        <v>6.124993659282487E-2</v>
      </c>
      <c r="H17">
        <v>1.0962481385676241E-2</v>
      </c>
      <c r="I17">
        <v>1.0755927703354051E-2</v>
      </c>
      <c r="J17">
        <v>2.768067185971225E-2</v>
      </c>
      <c r="K17">
        <v>2.856810461362318E-2</v>
      </c>
      <c r="L17">
        <v>3.338055836131097E-3</v>
      </c>
      <c r="M17">
        <v>3.3059524700838538E-3</v>
      </c>
      <c r="N17">
        <v>0.1793226721544938</v>
      </c>
      <c r="O17">
        <v>0.2832581285430939</v>
      </c>
      <c r="P17">
        <v>2.381417722675383E-2</v>
      </c>
      <c r="Q17">
        <v>1.1917555004814701E-2</v>
      </c>
      <c r="R17">
        <v>2.20515983689006E-2</v>
      </c>
    </row>
    <row r="18" spans="1:18" x14ac:dyDescent="0.25">
      <c r="A18">
        <v>2022</v>
      </c>
      <c r="B18">
        <v>0.13751732863630481</v>
      </c>
      <c r="C18">
        <v>0.15457250184339691</v>
      </c>
      <c r="D18">
        <v>9.6037750035859095E-3</v>
      </c>
      <c r="E18">
        <v>9.610101535479209E-3</v>
      </c>
      <c r="F18">
        <v>6.2020678278793519E-2</v>
      </c>
      <c r="G18">
        <v>6.4013491012467338E-2</v>
      </c>
      <c r="H18">
        <v>1.1243215317455009E-2</v>
      </c>
      <c r="I18">
        <v>1.1366862090547309E-2</v>
      </c>
      <c r="J18">
        <v>2.4662504063957841E-2</v>
      </c>
      <c r="K18">
        <v>2.6562763125464729E-2</v>
      </c>
      <c r="L18">
        <v>3.670939682267082E-3</v>
      </c>
      <c r="M18">
        <v>3.7907500665347528E-3</v>
      </c>
      <c r="N18">
        <v>0.1747794120728956</v>
      </c>
      <c r="O18">
        <v>0.25256379357155051</v>
      </c>
      <c r="P18">
        <v>2.239119285789657E-2</v>
      </c>
      <c r="Q18">
        <v>1.0935889318461661E-2</v>
      </c>
      <c r="R18">
        <v>2.069480152294121E-2</v>
      </c>
    </row>
    <row r="19" spans="1:18" x14ac:dyDescent="0.25">
      <c r="A19">
        <v>2023</v>
      </c>
      <c r="B19">
        <v>0.1439485380238949</v>
      </c>
      <c r="C19">
        <v>0.1343059788764687</v>
      </c>
      <c r="D19">
        <v>8.8421084226181085E-3</v>
      </c>
      <c r="E19">
        <v>8.9581036660479427E-3</v>
      </c>
      <c r="F19">
        <v>6.3762492423140707E-2</v>
      </c>
      <c r="G19">
        <v>6.1387762038366538E-2</v>
      </c>
      <c r="H19">
        <v>1.0639798897991321E-2</v>
      </c>
      <c r="I19">
        <v>1.033691631847946E-2</v>
      </c>
      <c r="J19">
        <v>2.4308021691645799E-2</v>
      </c>
      <c r="K19">
        <v>2.5322589667100121E-2</v>
      </c>
      <c r="L19">
        <v>3.7807624273923268E-3</v>
      </c>
      <c r="M19">
        <v>3.707381171462491E-3</v>
      </c>
      <c r="N19">
        <v>0.19276511478408229</v>
      </c>
      <c r="O19">
        <v>0.25620698654673391</v>
      </c>
      <c r="P19">
        <v>2.1025619593858149E-2</v>
      </c>
      <c r="Q19">
        <v>1.1817104783250321E-2</v>
      </c>
      <c r="R19">
        <v>1.8884720667466881E-2</v>
      </c>
    </row>
    <row r="20" spans="1:18" x14ac:dyDescent="0.25">
      <c r="A20">
        <v>2024</v>
      </c>
      <c r="B20">
        <v>0.13887725262958769</v>
      </c>
      <c r="C20">
        <v>0.1629533352715645</v>
      </c>
      <c r="D20">
        <v>8.8700209986732545E-3</v>
      </c>
      <c r="E20">
        <v>8.3891649813032446E-3</v>
      </c>
      <c r="F20">
        <v>6.0722880332722128E-2</v>
      </c>
      <c r="G20">
        <v>6.3750918581372107E-2</v>
      </c>
      <c r="H20">
        <v>9.7294905087774528E-3</v>
      </c>
      <c r="I20">
        <v>1.0014047549575109E-2</v>
      </c>
      <c r="J20">
        <v>2.3570768368337741E-2</v>
      </c>
      <c r="K20">
        <v>2.5065372027855661E-2</v>
      </c>
      <c r="L20">
        <v>4.0322090463353923E-3</v>
      </c>
      <c r="M20">
        <v>4.016502917109168E-3</v>
      </c>
      <c r="N20">
        <v>0.18351971159997199</v>
      </c>
      <c r="O20">
        <v>0.24899805569739741</v>
      </c>
      <c r="P20">
        <v>1.94345884883678E-2</v>
      </c>
      <c r="Q20">
        <v>1.1084936273346811E-2</v>
      </c>
      <c r="R20">
        <v>1.6970744727702391E-2</v>
      </c>
    </row>
    <row r="21" spans="1:18" x14ac:dyDescent="0.25">
      <c r="A21">
        <v>2025</v>
      </c>
      <c r="B21">
        <v>0.15513384115794759</v>
      </c>
      <c r="C21">
        <v>0.18587819760562649</v>
      </c>
      <c r="D21">
        <v>8.1771739647690106E-3</v>
      </c>
      <c r="E21">
        <v>8.6184756535615577E-3</v>
      </c>
      <c r="F21">
        <v>5.7793035172853439E-2</v>
      </c>
      <c r="G21">
        <v>5.7155120549312932E-2</v>
      </c>
      <c r="H21">
        <v>9.2013829856641242E-3</v>
      </c>
      <c r="I21">
        <v>9.2575655591163493E-3</v>
      </c>
      <c r="J21">
        <v>2.3231955568357589E-2</v>
      </c>
      <c r="K21">
        <v>2.5301086767068739E-2</v>
      </c>
      <c r="L21">
        <v>4.0999661935092954E-3</v>
      </c>
      <c r="M21">
        <v>4.1712951660117323E-3</v>
      </c>
      <c r="N21">
        <v>0.17849439430053801</v>
      </c>
      <c r="O21">
        <v>0.22824285207601341</v>
      </c>
      <c r="P21">
        <v>1.7804765046426412E-2</v>
      </c>
      <c r="Q21">
        <v>1.089495677343919E-2</v>
      </c>
      <c r="R21">
        <v>1.6543935459784088E-2</v>
      </c>
    </row>
    <row r="23" spans="1:18" x14ac:dyDescent="0.25">
      <c r="A23" t="s">
        <v>47</v>
      </c>
    </row>
    <row r="24" spans="1:18" x14ac:dyDescent="0.25">
      <c r="A24">
        <v>2008</v>
      </c>
      <c r="B24">
        <v>8.7813925388157868E-2</v>
      </c>
      <c r="C24">
        <v>0.16678979660729559</v>
      </c>
      <c r="D24">
        <v>9.2354648114989393E-4</v>
      </c>
      <c r="E24">
        <v>2.1207233858384151E-2</v>
      </c>
      <c r="F24">
        <v>6.2814747186808073E-2</v>
      </c>
      <c r="G24">
        <v>6.477023737935067E-2</v>
      </c>
      <c r="H24">
        <v>0</v>
      </c>
      <c r="I24">
        <v>1.235556885621601E-18</v>
      </c>
      <c r="J24">
        <v>5.883964560112291E-3</v>
      </c>
      <c r="K24">
        <v>7.5895958662342833E-3</v>
      </c>
      <c r="L24">
        <v>1.4569984199229899E-2</v>
      </c>
      <c r="M24">
        <v>2.4460657820047148E-2</v>
      </c>
      <c r="N24">
        <v>0.2026013840934863</v>
      </c>
      <c r="O24">
        <v>0.24536634177611291</v>
      </c>
      <c r="P24">
        <v>3.8630928573496537E-2</v>
      </c>
      <c r="Q24">
        <v>5.6577656210134379E-2</v>
      </c>
      <c r="R24">
        <v>1.409462824231156E-18</v>
      </c>
    </row>
    <row r="25" spans="1:18" x14ac:dyDescent="0.25">
      <c r="A25">
        <v>2009</v>
      </c>
      <c r="B25">
        <v>0.10301963512249759</v>
      </c>
      <c r="C25">
        <v>0.13443707539025701</v>
      </c>
      <c r="D25">
        <v>2.282309359413085E-3</v>
      </c>
      <c r="E25">
        <v>1.2507185248681021E-2</v>
      </c>
      <c r="F25">
        <v>3.6006654958310652E-2</v>
      </c>
      <c r="G25">
        <v>3.2676745551051392E-2</v>
      </c>
      <c r="H25">
        <v>0</v>
      </c>
      <c r="I25">
        <v>4.647678834183594E-19</v>
      </c>
      <c r="J25">
        <v>1.8967278149127419E-18</v>
      </c>
      <c r="K25">
        <v>2.5906868471040271E-3</v>
      </c>
      <c r="L25">
        <v>1.3236988142278779E-3</v>
      </c>
      <c r="M25">
        <v>2.985305732482304E-5</v>
      </c>
      <c r="N25">
        <v>0.26822708013570112</v>
      </c>
      <c r="O25">
        <v>0.33643364749511068</v>
      </c>
      <c r="P25">
        <v>5.4303960449407799E-18</v>
      </c>
      <c r="Q25">
        <v>7.0465428020320686E-2</v>
      </c>
      <c r="R25">
        <v>8.7565388563576727E-18</v>
      </c>
    </row>
    <row r="26" spans="1:18" x14ac:dyDescent="0.25">
      <c r="A26">
        <v>2010</v>
      </c>
      <c r="B26">
        <v>0.1203630705234027</v>
      </c>
      <c r="C26">
        <v>0.1342392552077489</v>
      </c>
      <c r="D26">
        <v>1.7644772805447691E-2</v>
      </c>
      <c r="E26">
        <v>7.5897625448854908E-3</v>
      </c>
      <c r="F26">
        <v>3.496014042610273E-2</v>
      </c>
      <c r="G26">
        <v>3.5388863287956762E-2</v>
      </c>
      <c r="H26">
        <v>1.150984823410483E-18</v>
      </c>
      <c r="I26">
        <v>7.9102658752912874E-19</v>
      </c>
      <c r="J26">
        <v>5.9573046814501429E-3</v>
      </c>
      <c r="K26">
        <v>1.490215847406717E-2</v>
      </c>
      <c r="L26">
        <v>0</v>
      </c>
      <c r="M26">
        <v>0</v>
      </c>
      <c r="N26">
        <v>0.25443316816661699</v>
      </c>
      <c r="O26">
        <v>0.31648634382135388</v>
      </c>
      <c r="P26">
        <v>0</v>
      </c>
      <c r="Q26">
        <v>5.8035160060967497E-2</v>
      </c>
      <c r="R26">
        <v>6.567404142317234E-18</v>
      </c>
    </row>
    <row r="27" spans="1:18" x14ac:dyDescent="0.25">
      <c r="A27">
        <v>2011</v>
      </c>
      <c r="B27">
        <v>0.1223003367962576</v>
      </c>
      <c r="C27">
        <v>0.13847769466802951</v>
      </c>
      <c r="D27">
        <v>2.594833537887992E-2</v>
      </c>
      <c r="E27">
        <v>1.7762717073162439E-2</v>
      </c>
      <c r="F27">
        <v>3.0997740856656519E-2</v>
      </c>
      <c r="G27">
        <v>3.4398284677611878E-2</v>
      </c>
      <c r="H27">
        <v>5.1080247028541723E-19</v>
      </c>
      <c r="I27">
        <v>4.773352300137397E-19</v>
      </c>
      <c r="J27">
        <v>6.8634823002843947E-4</v>
      </c>
      <c r="K27">
        <v>1.0653026115498581E-2</v>
      </c>
      <c r="L27">
        <v>0</v>
      </c>
      <c r="M27">
        <v>1.4058116199592251E-19</v>
      </c>
      <c r="N27">
        <v>0.2535964428307968</v>
      </c>
      <c r="O27">
        <v>0.31426657475674158</v>
      </c>
      <c r="P27">
        <v>0</v>
      </c>
      <c r="Q27">
        <v>5.0912498616336739E-2</v>
      </c>
      <c r="R27">
        <v>1.2124438416495239E-18</v>
      </c>
    </row>
    <row r="28" spans="1:18" x14ac:dyDescent="0.25">
      <c r="A28">
        <v>2012</v>
      </c>
      <c r="B28">
        <v>0.10457992821350851</v>
      </c>
      <c r="C28">
        <v>0.1147028138088618</v>
      </c>
      <c r="D28">
        <v>3.9804843346648203E-2</v>
      </c>
      <c r="E28">
        <v>3.0427780416376959E-2</v>
      </c>
      <c r="F28">
        <v>2.1996565470828389E-2</v>
      </c>
      <c r="G28">
        <v>2.222853783348135E-2</v>
      </c>
      <c r="H28">
        <v>0</v>
      </c>
      <c r="I28">
        <v>1.043587459805365E-19</v>
      </c>
      <c r="J28">
        <v>5.1456816556072404E-19</v>
      </c>
      <c r="K28">
        <v>1.415726224371803E-18</v>
      </c>
      <c r="L28">
        <v>1.749739712991448E-19</v>
      </c>
      <c r="M28">
        <v>0</v>
      </c>
      <c r="N28">
        <v>0.26030152368924042</v>
      </c>
      <c r="O28">
        <v>0.32371007005147978</v>
      </c>
      <c r="P28">
        <v>3.2850710936450797E-2</v>
      </c>
      <c r="Q28">
        <v>4.9397226233123911E-2</v>
      </c>
      <c r="R28">
        <v>0</v>
      </c>
    </row>
    <row r="29" spans="1:18" x14ac:dyDescent="0.25">
      <c r="A29">
        <v>2013</v>
      </c>
      <c r="B29">
        <v>9.7795746351868232E-2</v>
      </c>
      <c r="C29">
        <v>0.1216984307310618</v>
      </c>
      <c r="D29">
        <v>3.058821616421644E-2</v>
      </c>
      <c r="E29">
        <v>3.5838911739454027E-2</v>
      </c>
      <c r="F29">
        <v>2.454144098920601E-2</v>
      </c>
      <c r="G29">
        <v>2.4922869130047778E-2</v>
      </c>
      <c r="H29">
        <v>3.0615683804719041E-19</v>
      </c>
      <c r="I29">
        <v>0</v>
      </c>
      <c r="J29">
        <v>1.871547684495303E-19</v>
      </c>
      <c r="K29">
        <v>0</v>
      </c>
      <c r="L29">
        <v>0</v>
      </c>
      <c r="M29">
        <v>6.2915253542068421E-19</v>
      </c>
      <c r="N29">
        <v>0.25859274180551561</v>
      </c>
      <c r="O29">
        <v>0.31086500649566162</v>
      </c>
      <c r="P29">
        <v>2.86538030286956E-2</v>
      </c>
      <c r="Q29">
        <v>6.6502833564273028E-2</v>
      </c>
      <c r="R29">
        <v>0</v>
      </c>
    </row>
    <row r="30" spans="1:18" x14ac:dyDescent="0.25">
      <c r="A30">
        <v>2014</v>
      </c>
      <c r="B30">
        <v>0.1215891779206502</v>
      </c>
      <c r="C30">
        <v>0.1453088098725987</v>
      </c>
      <c r="D30">
        <v>1.6805971133048221E-2</v>
      </c>
      <c r="E30">
        <v>2.241561307498233E-2</v>
      </c>
      <c r="F30">
        <v>3.1400759840005919E-2</v>
      </c>
      <c r="G30">
        <v>3.2038933112723107E-2</v>
      </c>
      <c r="H30">
        <v>0</v>
      </c>
      <c r="I30">
        <v>0</v>
      </c>
      <c r="J30">
        <v>1.5732588025709739E-19</v>
      </c>
      <c r="K30">
        <v>0</v>
      </c>
      <c r="L30">
        <v>5.9100674925129912E-19</v>
      </c>
      <c r="M30">
        <v>0</v>
      </c>
      <c r="N30">
        <v>0.2386647955224698</v>
      </c>
      <c r="O30">
        <v>0.29253087736141181</v>
      </c>
      <c r="P30">
        <v>3.110221634830666E-2</v>
      </c>
      <c r="Q30">
        <v>6.4313050821677778E-2</v>
      </c>
      <c r="R30">
        <v>3.8297949921256508E-3</v>
      </c>
    </row>
    <row r="31" spans="1:18" x14ac:dyDescent="0.25">
      <c r="A31">
        <v>2015</v>
      </c>
      <c r="B31">
        <v>0.1224675715665758</v>
      </c>
      <c r="C31">
        <v>0.15172428846537939</v>
      </c>
      <c r="D31">
        <v>1.7239932344003991E-2</v>
      </c>
      <c r="E31">
        <v>3.6235173749239007E-2</v>
      </c>
      <c r="F31">
        <v>2.42198815357722E-2</v>
      </c>
      <c r="G31">
        <v>2.6392313815460509E-2</v>
      </c>
      <c r="H31">
        <v>0</v>
      </c>
      <c r="I31">
        <v>7.6394514282018042E-19</v>
      </c>
      <c r="J31">
        <v>1.888132788512814E-18</v>
      </c>
      <c r="K31">
        <v>0</v>
      </c>
      <c r="L31">
        <v>1.658103781278117E-18</v>
      </c>
      <c r="M31">
        <v>2.0649877498027859E-18</v>
      </c>
      <c r="N31">
        <v>0.24393909276480549</v>
      </c>
      <c r="O31">
        <v>0.27701324864457788</v>
      </c>
      <c r="P31">
        <v>3.5994711735076422E-2</v>
      </c>
      <c r="Q31">
        <v>6.4773785379109064E-2</v>
      </c>
      <c r="R31">
        <v>0</v>
      </c>
    </row>
    <row r="32" spans="1:18" x14ac:dyDescent="0.25">
      <c r="A32">
        <v>2016</v>
      </c>
      <c r="B32">
        <v>0.124083271550349</v>
      </c>
      <c r="C32">
        <v>0.14789507434158741</v>
      </c>
      <c r="D32">
        <v>2.6190565329240328E-2</v>
      </c>
      <c r="E32">
        <v>4.2523335788040718E-2</v>
      </c>
      <c r="F32">
        <v>2.350762523009136E-2</v>
      </c>
      <c r="G32">
        <v>2.5467043607415221E-2</v>
      </c>
      <c r="H32">
        <v>9.7225631095557624E-19</v>
      </c>
      <c r="I32">
        <v>7.5541587645847525E-19</v>
      </c>
      <c r="J32">
        <v>1.1890967454526769E-18</v>
      </c>
      <c r="K32">
        <v>1.048945729671727E-19</v>
      </c>
      <c r="L32">
        <v>4.6722701089556702E-20</v>
      </c>
      <c r="M32">
        <v>5.3857544196137446E-19</v>
      </c>
      <c r="N32">
        <v>0.25362952533273109</v>
      </c>
      <c r="O32">
        <v>0.25923179229396992</v>
      </c>
      <c r="P32">
        <v>2.850701058271864E-2</v>
      </c>
      <c r="Q32">
        <v>6.5398285986329657E-2</v>
      </c>
      <c r="R32">
        <v>3.5664699575267268E-3</v>
      </c>
    </row>
    <row r="33" spans="1:19" x14ac:dyDescent="0.25">
      <c r="A33">
        <v>2017</v>
      </c>
      <c r="B33">
        <v>0.13310290244884951</v>
      </c>
      <c r="C33">
        <v>0.1629756036251481</v>
      </c>
      <c r="D33">
        <v>2.0434215373820421E-2</v>
      </c>
      <c r="E33">
        <v>3.2776068625615613E-2</v>
      </c>
      <c r="F33">
        <v>2.4331620571657869E-2</v>
      </c>
      <c r="G33">
        <v>1.881868780742204E-2</v>
      </c>
      <c r="H33">
        <v>0</v>
      </c>
      <c r="I33">
        <v>0</v>
      </c>
      <c r="J33">
        <v>0</v>
      </c>
      <c r="K33">
        <v>7.6185241359484164E-3</v>
      </c>
      <c r="L33">
        <v>1.5189428270650691E-4</v>
      </c>
      <c r="M33">
        <v>0</v>
      </c>
      <c r="N33">
        <v>0.25489478839877328</v>
      </c>
      <c r="O33">
        <v>0.24374846403344649</v>
      </c>
      <c r="P33">
        <v>3.6274168661752967E-2</v>
      </c>
      <c r="Q33">
        <v>6.4873062034858847E-2</v>
      </c>
      <c r="R33">
        <v>0</v>
      </c>
    </row>
    <row r="34" spans="1:19" x14ac:dyDescent="0.25">
      <c r="A34">
        <v>2018</v>
      </c>
      <c r="B34">
        <v>0.13190773928251059</v>
      </c>
      <c r="C34">
        <v>0.16843553818599671</v>
      </c>
      <c r="D34">
        <v>2.4605241026784231E-2</v>
      </c>
      <c r="E34">
        <v>2.3441836558898029E-2</v>
      </c>
      <c r="F34">
        <v>2.597589032417193E-2</v>
      </c>
      <c r="G34">
        <v>2.6955794885002479E-2</v>
      </c>
      <c r="H34">
        <v>5.6026105917693524E-19</v>
      </c>
      <c r="I34">
        <v>1.0209589748147439E-18</v>
      </c>
      <c r="J34">
        <v>3.4475758244845871E-18</v>
      </c>
      <c r="K34">
        <v>8.1752888025957392E-3</v>
      </c>
      <c r="L34">
        <v>4.0896434205294459E-3</v>
      </c>
      <c r="M34">
        <v>1.856045021065917E-3</v>
      </c>
      <c r="N34">
        <v>0.23742834861114309</v>
      </c>
      <c r="O34">
        <v>0.25074390744186742</v>
      </c>
      <c r="P34">
        <v>3.7503289383175327E-2</v>
      </c>
      <c r="Q34">
        <v>5.8881437056258978E-2</v>
      </c>
      <c r="R34">
        <v>0</v>
      </c>
    </row>
    <row r="35" spans="1:19" x14ac:dyDescent="0.25">
      <c r="A35">
        <v>2019</v>
      </c>
      <c r="B35">
        <v>0.11763190658492829</v>
      </c>
      <c r="C35">
        <v>0.16378178192896639</v>
      </c>
      <c r="D35">
        <v>9.3908611385766522E-3</v>
      </c>
      <c r="E35">
        <v>3.1843730307293087E-2</v>
      </c>
      <c r="F35">
        <v>1.751009830401401E-2</v>
      </c>
      <c r="G35">
        <v>3.2986119107428331E-2</v>
      </c>
      <c r="H35">
        <v>0</v>
      </c>
      <c r="I35">
        <v>1.1166157651358941E-20</v>
      </c>
      <c r="J35">
        <v>4.9289938764118194E-3</v>
      </c>
      <c r="K35">
        <v>6.3396375237459739E-4</v>
      </c>
      <c r="L35">
        <v>2.0154333640987308E-3</v>
      </c>
      <c r="M35">
        <v>1.177788421501993E-2</v>
      </c>
      <c r="N35">
        <v>0.24532100226327019</v>
      </c>
      <c r="O35">
        <v>0.27758539807581267</v>
      </c>
      <c r="P35">
        <v>3.4013221084305753E-2</v>
      </c>
      <c r="Q35">
        <v>5.0579605997499583E-2</v>
      </c>
      <c r="R35">
        <v>0</v>
      </c>
    </row>
    <row r="36" spans="1:19" x14ac:dyDescent="0.25">
      <c r="A36">
        <v>2020</v>
      </c>
      <c r="B36">
        <v>0.11688348542959651</v>
      </c>
      <c r="C36">
        <v>0.16750771780710741</v>
      </c>
      <c r="D36">
        <v>0</v>
      </c>
      <c r="E36">
        <v>2.8196305140927021E-2</v>
      </c>
      <c r="F36">
        <v>1.819266038286867E-2</v>
      </c>
      <c r="G36">
        <v>5.0477238330165888E-2</v>
      </c>
      <c r="H36">
        <v>6.3578622611993797E-19</v>
      </c>
      <c r="I36">
        <v>0</v>
      </c>
      <c r="J36">
        <v>0</v>
      </c>
      <c r="K36">
        <v>1.974620343184495E-3</v>
      </c>
      <c r="L36">
        <v>6.9541390237482714E-3</v>
      </c>
      <c r="M36">
        <v>1.8507076461831289E-2</v>
      </c>
      <c r="N36">
        <v>0.23118019791667391</v>
      </c>
      <c r="O36">
        <v>0.27379151312629679</v>
      </c>
      <c r="P36">
        <v>4.0654860370117452E-2</v>
      </c>
      <c r="Q36">
        <v>4.568018566748222E-2</v>
      </c>
      <c r="R36">
        <v>0</v>
      </c>
    </row>
    <row r="37" spans="1:19" x14ac:dyDescent="0.25">
      <c r="A37">
        <v>2021</v>
      </c>
      <c r="B37">
        <v>0.1131576168410567</v>
      </c>
      <c r="C37">
        <v>0.14554892128411431</v>
      </c>
      <c r="D37">
        <v>5.7502872398592234E-3</v>
      </c>
      <c r="E37">
        <v>1.062886632806256E-2</v>
      </c>
      <c r="F37">
        <v>3.7199760404542259E-2</v>
      </c>
      <c r="G37">
        <v>6.816764306822129E-2</v>
      </c>
      <c r="H37">
        <v>2.0454378484988451E-19</v>
      </c>
      <c r="I37">
        <v>2.8055875347141441E-3</v>
      </c>
      <c r="J37">
        <v>1.7900585176670849E-3</v>
      </c>
      <c r="K37">
        <v>1.716608243524418E-2</v>
      </c>
      <c r="L37">
        <v>0</v>
      </c>
      <c r="M37">
        <v>6.4918349557539709E-20</v>
      </c>
      <c r="N37">
        <v>0.21927533109185329</v>
      </c>
      <c r="O37">
        <v>0.30492593661907191</v>
      </c>
      <c r="P37">
        <v>3.9864119734507493E-2</v>
      </c>
      <c r="Q37">
        <v>3.3719788901085603E-2</v>
      </c>
      <c r="R37">
        <v>5.3886392962201058E-19</v>
      </c>
    </row>
    <row r="38" spans="1:19" x14ac:dyDescent="0.25">
      <c r="A38">
        <v>2022</v>
      </c>
      <c r="B38">
        <v>0.1292789220069466</v>
      </c>
      <c r="C38">
        <v>0.1689686539138377</v>
      </c>
      <c r="D38">
        <v>1.471645558493102E-3</v>
      </c>
      <c r="E38">
        <v>1.0030477514313451E-3</v>
      </c>
      <c r="F38">
        <v>4.6002194210359608E-2</v>
      </c>
      <c r="G38">
        <v>6.7641214691973067E-2</v>
      </c>
      <c r="H38">
        <v>0</v>
      </c>
      <c r="I38">
        <v>3.605915392788261E-3</v>
      </c>
      <c r="J38">
        <v>4.9616209339873787E-3</v>
      </c>
      <c r="K38">
        <v>1.076692854403471E-2</v>
      </c>
      <c r="L38">
        <v>2.0599994931326229E-19</v>
      </c>
      <c r="M38">
        <v>2.2441403561917529E-19</v>
      </c>
      <c r="N38">
        <v>0.2158728316269638</v>
      </c>
      <c r="O38">
        <v>0.27656975383990701</v>
      </c>
      <c r="P38">
        <v>4.2938644263787157E-2</v>
      </c>
      <c r="Q38">
        <v>3.0918627265490412E-2</v>
      </c>
      <c r="R38">
        <v>1.347159824055026E-19</v>
      </c>
    </row>
    <row r="39" spans="1:19" x14ac:dyDescent="0.25">
      <c r="A39">
        <v>2023</v>
      </c>
      <c r="B39">
        <v>0.13022251759787859</v>
      </c>
      <c r="C39">
        <v>0.13911410298312959</v>
      </c>
      <c r="D39">
        <v>1.8441713759087049E-3</v>
      </c>
      <c r="E39">
        <v>1.4057133332979789E-3</v>
      </c>
      <c r="F39">
        <v>4.2320640953145333E-2</v>
      </c>
      <c r="G39">
        <v>6.1839613613401193E-2</v>
      </c>
      <c r="H39">
        <v>3.8671467594499261E-19</v>
      </c>
      <c r="I39">
        <v>0</v>
      </c>
      <c r="J39">
        <v>1.387772318423499E-2</v>
      </c>
      <c r="K39">
        <v>1.3519744731883729E-2</v>
      </c>
      <c r="L39">
        <v>0</v>
      </c>
      <c r="M39">
        <v>0</v>
      </c>
      <c r="N39">
        <v>0.23529849511873399</v>
      </c>
      <c r="O39">
        <v>0.28029476147185478</v>
      </c>
      <c r="P39">
        <v>4.2702383503888351E-2</v>
      </c>
      <c r="Q39">
        <v>3.7560132132642671E-2</v>
      </c>
      <c r="R39">
        <v>2.4922456745017991E-18</v>
      </c>
    </row>
    <row r="40" spans="1:19" x14ac:dyDescent="0.25">
      <c r="A40">
        <v>2024</v>
      </c>
      <c r="B40">
        <v>0.11259516836309751</v>
      </c>
      <c r="C40">
        <v>0.18740774812560329</v>
      </c>
      <c r="D40">
        <v>1.0247507293289481E-2</v>
      </c>
      <c r="E40">
        <v>8.6625116170700144E-3</v>
      </c>
      <c r="F40">
        <v>1.072288033272213E-2</v>
      </c>
      <c r="G40">
        <v>4.4462012905891433E-2</v>
      </c>
      <c r="H40">
        <v>0</v>
      </c>
      <c r="I40">
        <v>3.0151596903921709E-19</v>
      </c>
      <c r="J40">
        <v>1.259112212238069E-2</v>
      </c>
      <c r="K40">
        <v>1.8947527823472188E-2</v>
      </c>
      <c r="L40">
        <v>0</v>
      </c>
      <c r="M40">
        <v>0</v>
      </c>
      <c r="N40">
        <v>0.22928855828673941</v>
      </c>
      <c r="O40">
        <v>0.26759691093806742</v>
      </c>
      <c r="P40">
        <v>4.756193695157003E-2</v>
      </c>
      <c r="Q40">
        <v>4.9916115240096523E-2</v>
      </c>
      <c r="R40">
        <v>0</v>
      </c>
    </row>
    <row r="41" spans="1:19" x14ac:dyDescent="0.25">
      <c r="A41">
        <v>2025</v>
      </c>
      <c r="B41">
        <v>0.1306153748469609</v>
      </c>
      <c r="C41">
        <v>0.20050021069447149</v>
      </c>
      <c r="D41">
        <v>9.1895343225906669E-3</v>
      </c>
      <c r="E41">
        <v>1.878777279728917E-2</v>
      </c>
      <c r="F41">
        <v>1.0004842378347331E-2</v>
      </c>
      <c r="G41">
        <v>3.4641266311181522E-2</v>
      </c>
      <c r="H41">
        <v>9.3733494178034464E-5</v>
      </c>
      <c r="I41">
        <v>3.5148439191698558E-3</v>
      </c>
      <c r="J41">
        <v>1.386656794830898E-2</v>
      </c>
      <c r="K41">
        <v>1.163132632657171E-2</v>
      </c>
      <c r="L41">
        <v>3.479420854165071E-19</v>
      </c>
      <c r="M41">
        <v>0</v>
      </c>
      <c r="N41">
        <v>0.228494394300538</v>
      </c>
      <c r="O41">
        <v>0.25006687850789427</v>
      </c>
      <c r="P41">
        <v>3.9302654486778922E-2</v>
      </c>
      <c r="Q41">
        <v>4.9290599665719137E-2</v>
      </c>
      <c r="R41">
        <v>1.3010426069826049E-18</v>
      </c>
    </row>
    <row r="44" spans="1:19" ht="15.6" x14ac:dyDescent="0.25">
      <c r="A44" s="3" t="s">
        <v>48</v>
      </c>
    </row>
    <row r="45" spans="1:19" x14ac:dyDescent="0.25">
      <c r="A45" t="s">
        <v>49</v>
      </c>
      <c r="B45" t="s">
        <v>29</v>
      </c>
      <c r="C45" t="s">
        <v>30</v>
      </c>
      <c r="D45" t="s">
        <v>31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 t="s">
        <v>37</v>
      </c>
      <c r="K45" t="s">
        <v>38</v>
      </c>
      <c r="L45" t="s">
        <v>39</v>
      </c>
      <c r="M45" t="s">
        <v>40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50</v>
      </c>
    </row>
    <row r="46" spans="1:19" x14ac:dyDescent="0.25">
      <c r="A46" t="s">
        <v>51</v>
      </c>
      <c r="B46">
        <v>0</v>
      </c>
      <c r="C46">
        <v>1</v>
      </c>
      <c r="D46">
        <v>0</v>
      </c>
      <c r="E46">
        <v>0</v>
      </c>
      <c r="F46">
        <v>0</v>
      </c>
      <c r="G46">
        <v>-1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7.4999999999999997E-3</v>
      </c>
    </row>
    <row r="47" spans="1:19" x14ac:dyDescent="0.25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-1</v>
      </c>
      <c r="S47">
        <v>4.0000000000000001E-3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/>
  </sheetViews>
  <sheetFormatPr defaultRowHeight="14.4" x14ac:dyDescent="0.25"/>
  <sheetData>
    <row r="1" spans="1:4" ht="15.6" x14ac:dyDescent="0.25">
      <c r="A1" s="3" t="s">
        <v>53</v>
      </c>
    </row>
    <row r="3" spans="1:4" x14ac:dyDescent="0.25">
      <c r="A3" t="s">
        <v>54</v>
      </c>
      <c r="B3" t="s">
        <v>55</v>
      </c>
      <c r="C3" t="s">
        <v>56</v>
      </c>
      <c r="D3" t="s">
        <v>57</v>
      </c>
    </row>
    <row r="4" spans="1:4" x14ac:dyDescent="0.25">
      <c r="A4">
        <v>2008</v>
      </c>
      <c r="B4">
        <v>2.5</v>
      </c>
      <c r="C4">
        <v>0.05</v>
      </c>
      <c r="D4">
        <v>4</v>
      </c>
    </row>
    <row r="5" spans="1:4" x14ac:dyDescent="0.25">
      <c r="A5">
        <v>2009</v>
      </c>
      <c r="B5">
        <v>2.5</v>
      </c>
      <c r="C5">
        <v>0.05</v>
      </c>
      <c r="D5">
        <v>4</v>
      </c>
    </row>
    <row r="6" spans="1:4" x14ac:dyDescent="0.25">
      <c r="A6">
        <v>2010</v>
      </c>
      <c r="B6">
        <v>2.5</v>
      </c>
      <c r="C6">
        <v>0.05</v>
      </c>
      <c r="D6">
        <v>4</v>
      </c>
    </row>
    <row r="7" spans="1:4" x14ac:dyDescent="0.25">
      <c r="A7">
        <v>2011</v>
      </c>
      <c r="B7">
        <v>2.5</v>
      </c>
      <c r="C7">
        <v>0.05</v>
      </c>
      <c r="D7">
        <v>4</v>
      </c>
    </row>
    <row r="8" spans="1:4" x14ac:dyDescent="0.25">
      <c r="A8">
        <v>2012</v>
      </c>
      <c r="B8">
        <v>2.5</v>
      </c>
      <c r="C8">
        <v>0.05</v>
      </c>
      <c r="D8">
        <v>4</v>
      </c>
    </row>
    <row r="9" spans="1:4" x14ac:dyDescent="0.25">
      <c r="A9">
        <v>2013</v>
      </c>
      <c r="B9">
        <v>2.5</v>
      </c>
      <c r="C9">
        <v>0.05</v>
      </c>
      <c r="D9">
        <v>4</v>
      </c>
    </row>
    <row r="10" spans="1:4" x14ac:dyDescent="0.25">
      <c r="A10">
        <v>2014</v>
      </c>
      <c r="B10">
        <v>2.5</v>
      </c>
      <c r="C10">
        <v>0.05</v>
      </c>
      <c r="D10">
        <v>4</v>
      </c>
    </row>
    <row r="11" spans="1:4" x14ac:dyDescent="0.25">
      <c r="A11">
        <v>2015</v>
      </c>
      <c r="B11">
        <v>2.5</v>
      </c>
      <c r="C11">
        <v>0.05</v>
      </c>
      <c r="D11">
        <v>4</v>
      </c>
    </row>
    <row r="12" spans="1:4" x14ac:dyDescent="0.25">
      <c r="A12">
        <v>2016</v>
      </c>
      <c r="B12">
        <v>2.5</v>
      </c>
      <c r="C12">
        <v>0.05</v>
      </c>
      <c r="D12">
        <v>4</v>
      </c>
    </row>
    <row r="13" spans="1:4" x14ac:dyDescent="0.25">
      <c r="A13">
        <v>2017</v>
      </c>
      <c r="B13">
        <v>2.5</v>
      </c>
      <c r="C13">
        <v>0.05</v>
      </c>
      <c r="D13">
        <v>4</v>
      </c>
    </row>
    <row r="14" spans="1:4" x14ac:dyDescent="0.25">
      <c r="A14">
        <v>2018</v>
      </c>
      <c r="B14">
        <v>2.5</v>
      </c>
      <c r="C14">
        <v>0.05</v>
      </c>
      <c r="D14">
        <v>4</v>
      </c>
    </row>
    <row r="15" spans="1:4" x14ac:dyDescent="0.25">
      <c r="A15">
        <v>2019</v>
      </c>
      <c r="B15">
        <v>2.5</v>
      </c>
      <c r="C15">
        <v>0.05</v>
      </c>
      <c r="D15">
        <v>4</v>
      </c>
    </row>
    <row r="16" spans="1:4" x14ac:dyDescent="0.25">
      <c r="A16">
        <v>2020</v>
      </c>
      <c r="B16">
        <v>2.5</v>
      </c>
      <c r="C16">
        <v>0.05</v>
      </c>
      <c r="D16">
        <v>4</v>
      </c>
    </row>
    <row r="17" spans="1:4" x14ac:dyDescent="0.25">
      <c r="A17">
        <v>2021</v>
      </c>
      <c r="B17">
        <v>2.5</v>
      </c>
      <c r="C17">
        <v>0.05</v>
      </c>
      <c r="D17">
        <v>4</v>
      </c>
    </row>
    <row r="18" spans="1:4" x14ac:dyDescent="0.25">
      <c r="A18">
        <v>2022</v>
      </c>
      <c r="B18">
        <v>2.5</v>
      </c>
      <c r="C18">
        <v>0.05</v>
      </c>
      <c r="D18">
        <v>4</v>
      </c>
    </row>
    <row r="19" spans="1:4" x14ac:dyDescent="0.25">
      <c r="A19">
        <v>2023</v>
      </c>
      <c r="B19">
        <v>2.5</v>
      </c>
      <c r="C19">
        <v>0.05</v>
      </c>
      <c r="D19">
        <v>4</v>
      </c>
    </row>
    <row r="20" spans="1:4" x14ac:dyDescent="0.25">
      <c r="A20">
        <v>2024</v>
      </c>
      <c r="B20">
        <v>2.5</v>
      </c>
      <c r="C20">
        <v>0.05</v>
      </c>
      <c r="D20">
        <v>4</v>
      </c>
    </row>
    <row r="21" spans="1:4" x14ac:dyDescent="0.25">
      <c r="A21">
        <v>2025</v>
      </c>
      <c r="B21">
        <v>2.5</v>
      </c>
      <c r="C21">
        <v>0.05</v>
      </c>
      <c r="D21">
        <v>4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4"/>
  <sheetViews>
    <sheetView workbookViewId="0"/>
  </sheetViews>
  <sheetFormatPr defaultRowHeight="14.4" x14ac:dyDescent="0.25"/>
  <sheetData>
    <row r="1" spans="1:18" ht="15.6" x14ac:dyDescent="0.25">
      <c r="A1" s="3" t="s">
        <v>58</v>
      </c>
    </row>
    <row r="3" spans="1:18" x14ac:dyDescent="0.25">
      <c r="A3" t="s">
        <v>59</v>
      </c>
    </row>
    <row r="4" spans="1:18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</row>
    <row r="5" spans="1:18" x14ac:dyDescent="0.25">
      <c r="A5">
        <v>2008</v>
      </c>
      <c r="B5">
        <v>8.7633994791350873E-3</v>
      </c>
      <c r="C5">
        <v>8.431157695354366E-3</v>
      </c>
      <c r="D5">
        <v>1.0945464499010181E-2</v>
      </c>
      <c r="E5">
        <v>1.4286536861484241E-2</v>
      </c>
      <c r="F5">
        <v>1.290612634461551E-2</v>
      </c>
      <c r="G5">
        <v>1.3056538382134161E-2</v>
      </c>
      <c r="H5">
        <v>1.283992011928386E-2</v>
      </c>
      <c r="I5">
        <v>1.5313062027840911E-2</v>
      </c>
      <c r="J5">
        <v>2.2200679223475871E-2</v>
      </c>
      <c r="K5">
        <v>2.2226196224210189E-2</v>
      </c>
      <c r="L5">
        <v>2.0280426360099801E-2</v>
      </c>
      <c r="M5">
        <v>2.040448071425199E-2</v>
      </c>
      <c r="N5">
        <v>2.5133013794755661E-4</v>
      </c>
      <c r="O5">
        <v>3.7303600337986148E-3</v>
      </c>
      <c r="P5">
        <v>2.5860407898191389E-3</v>
      </c>
      <c r="Q5">
        <v>5.9555407783612479E-4</v>
      </c>
      <c r="R5">
        <v>5.002626437143191E-3</v>
      </c>
    </row>
    <row r="6" spans="1:18" x14ac:dyDescent="0.25">
      <c r="A6">
        <v>2009</v>
      </c>
      <c r="B6">
        <v>2.9763936471393321E-2</v>
      </c>
      <c r="C6">
        <v>3.2969865993955412E-2</v>
      </c>
      <c r="D6">
        <v>3.2506940687513378E-2</v>
      </c>
      <c r="E6">
        <v>4.0012535018293209E-2</v>
      </c>
      <c r="F6">
        <v>4.2676420797991568E-2</v>
      </c>
      <c r="G6">
        <v>4.4254720481533873E-2</v>
      </c>
      <c r="H6">
        <v>4.7578868274654802E-2</v>
      </c>
      <c r="I6">
        <v>5.2345080818017649E-2</v>
      </c>
      <c r="J6">
        <v>5.9449655489145832E-2</v>
      </c>
      <c r="K6">
        <v>6.2546629541772703E-2</v>
      </c>
      <c r="L6">
        <v>6.4800549029982973E-2</v>
      </c>
      <c r="M6">
        <v>6.8444853120022742E-2</v>
      </c>
      <c r="N6">
        <v>5.0187535174536094E-3</v>
      </c>
      <c r="O6">
        <v>1.290039983934034E-2</v>
      </c>
      <c r="P6">
        <v>2.0078918148737749E-2</v>
      </c>
      <c r="Q6">
        <v>5.2981275955241462E-3</v>
      </c>
      <c r="R6">
        <v>3.072798662433519E-2</v>
      </c>
    </row>
    <row r="7" spans="1:18" x14ac:dyDescent="0.25">
      <c r="A7">
        <v>2010</v>
      </c>
      <c r="B7">
        <v>6.0450564799715473E-2</v>
      </c>
      <c r="C7">
        <v>5.6743287881703228E-2</v>
      </c>
      <c r="D7">
        <v>6.4753971436210103E-2</v>
      </c>
      <c r="E7">
        <v>6.6218042315159598E-2</v>
      </c>
      <c r="F7">
        <v>7.7740205502979484E-2</v>
      </c>
      <c r="G7">
        <v>7.1407771531775813E-2</v>
      </c>
      <c r="H7">
        <v>8.1859514103811232E-2</v>
      </c>
      <c r="I7">
        <v>8.0323722536450592E-2</v>
      </c>
      <c r="J7">
        <v>9.5291774910588753E-2</v>
      </c>
      <c r="K7">
        <v>9.4875253703764831E-2</v>
      </c>
      <c r="L7">
        <v>0.1055089640026384</v>
      </c>
      <c r="M7">
        <v>0.10743874351484731</v>
      </c>
      <c r="N7">
        <v>7.5913952378267348E-3</v>
      </c>
      <c r="O7">
        <v>2.3054044204783939E-2</v>
      </c>
      <c r="P7">
        <v>2.9876483260518932E-2</v>
      </c>
      <c r="Q7">
        <v>6.745071860238025E-3</v>
      </c>
      <c r="R7">
        <v>4.6439021021758647E-2</v>
      </c>
    </row>
    <row r="8" spans="1:18" x14ac:dyDescent="0.25">
      <c r="A8">
        <v>2011</v>
      </c>
      <c r="B8">
        <v>7.5555860996257204E-2</v>
      </c>
      <c r="C8">
        <v>7.1513972367897985E-2</v>
      </c>
      <c r="D8">
        <v>8.3063489208382579E-2</v>
      </c>
      <c r="E8">
        <v>8.2953382845469201E-2</v>
      </c>
      <c r="F8">
        <v>9.66921594175712E-2</v>
      </c>
      <c r="G8">
        <v>8.7796666890216701E-2</v>
      </c>
      <c r="H8">
        <v>0.10132664795876981</v>
      </c>
      <c r="I8">
        <v>9.8941130773338271E-2</v>
      </c>
      <c r="J8">
        <v>0.1088780699128474</v>
      </c>
      <c r="K8">
        <v>0.1089157845364426</v>
      </c>
      <c r="L8">
        <v>0.1210839845562237</v>
      </c>
      <c r="M8">
        <v>0.121618650801834</v>
      </c>
      <c r="N8">
        <v>6.7384408139013622E-3</v>
      </c>
      <c r="O8">
        <v>2.9404374135521209E-2</v>
      </c>
      <c r="P8">
        <v>3.5146869488932489E-2</v>
      </c>
      <c r="Q8">
        <v>6.0121345083336518E-3</v>
      </c>
      <c r="R8">
        <v>5.4080252674132932E-2</v>
      </c>
    </row>
    <row r="9" spans="1:18" x14ac:dyDescent="0.25">
      <c r="A9">
        <v>2012</v>
      </c>
      <c r="B9">
        <v>5.4519967080626022E-2</v>
      </c>
      <c r="C9">
        <v>4.5802479633717537E-2</v>
      </c>
      <c r="D9">
        <v>6.1876866058078663E-2</v>
      </c>
      <c r="E9">
        <v>5.6228580091158033E-2</v>
      </c>
      <c r="F9">
        <v>6.6408504553975206E-2</v>
      </c>
      <c r="G9">
        <v>5.8188312788543077E-2</v>
      </c>
      <c r="H9">
        <v>6.5238574982098188E-2</v>
      </c>
      <c r="I9">
        <v>5.9204433300191123E-2</v>
      </c>
      <c r="J9">
        <v>6.7738430391029766E-2</v>
      </c>
      <c r="K9">
        <v>6.6283414658392131E-2</v>
      </c>
      <c r="L9">
        <v>7.2995267463978372E-2</v>
      </c>
      <c r="M9">
        <v>6.9704465843637625E-2</v>
      </c>
      <c r="N9">
        <v>1.6592359543235739E-3</v>
      </c>
      <c r="O9">
        <v>2.3385828471188939E-2</v>
      </c>
      <c r="P9">
        <v>1.9470287494197509E-2</v>
      </c>
      <c r="Q9">
        <v>-2.5029916094346482E-4</v>
      </c>
      <c r="R9">
        <v>2.7052107610487489E-2</v>
      </c>
    </row>
    <row r="10" spans="1:18" x14ac:dyDescent="0.25">
      <c r="A10">
        <v>2013</v>
      </c>
      <c r="B10">
        <v>3.2244096649191263E-2</v>
      </c>
      <c r="C10">
        <v>3.2615258502623749E-2</v>
      </c>
      <c r="D10">
        <v>3.8112108728738769E-2</v>
      </c>
      <c r="E10">
        <v>4.0303840971376487E-2</v>
      </c>
      <c r="F10">
        <v>4.3635731815274692E-2</v>
      </c>
      <c r="G10">
        <v>4.2096069448049257E-2</v>
      </c>
      <c r="H10">
        <v>4.4523917073192747E-2</v>
      </c>
      <c r="I10">
        <v>4.379784461792835E-2</v>
      </c>
      <c r="J10">
        <v>4.5596367552275807E-2</v>
      </c>
      <c r="K10">
        <v>4.6612068572440483E-2</v>
      </c>
      <c r="L10">
        <v>4.6727135397748337E-2</v>
      </c>
      <c r="M10">
        <v>4.4488991776501841E-2</v>
      </c>
      <c r="N10">
        <v>-1.1798625156836759E-3</v>
      </c>
      <c r="O10">
        <v>1.4308848283843359E-2</v>
      </c>
      <c r="P10">
        <v>1.1626248565329331E-2</v>
      </c>
      <c r="Q10">
        <v>-9.0211031735030545E-4</v>
      </c>
      <c r="R10">
        <v>1.93181071817429E-2</v>
      </c>
    </row>
    <row r="11" spans="1:18" x14ac:dyDescent="0.25">
      <c r="A11">
        <v>2014</v>
      </c>
      <c r="B11">
        <v>2.2184568527761472E-2</v>
      </c>
      <c r="C11">
        <v>2.2474702844719072E-2</v>
      </c>
      <c r="D11">
        <v>2.7187919428564342E-2</v>
      </c>
      <c r="E11">
        <v>2.9465074614338681E-2</v>
      </c>
      <c r="F11">
        <v>3.191112837908959E-2</v>
      </c>
      <c r="G11">
        <v>3.0937543907724161E-2</v>
      </c>
      <c r="H11">
        <v>3.2740643377374139E-2</v>
      </c>
      <c r="I11">
        <v>3.0951254961947231E-2</v>
      </c>
      <c r="J11">
        <v>3.5250587809912248E-2</v>
      </c>
      <c r="K11">
        <v>3.5140275794692838E-2</v>
      </c>
      <c r="L11">
        <v>3.5412375129481997E-2</v>
      </c>
      <c r="M11">
        <v>3.4879967433503453E-2</v>
      </c>
      <c r="N11">
        <v>4.6340612507275508E-4</v>
      </c>
      <c r="O11">
        <v>9.4291803739418381E-3</v>
      </c>
      <c r="P11">
        <v>9.4046992183595204E-3</v>
      </c>
      <c r="Q11">
        <v>1.0182433943962241E-3</v>
      </c>
      <c r="R11">
        <v>1.5123087900578759E-2</v>
      </c>
    </row>
    <row r="12" spans="1:18" x14ac:dyDescent="0.25">
      <c r="A12">
        <v>2015</v>
      </c>
      <c r="B12">
        <v>1.190575401606378E-2</v>
      </c>
      <c r="C12">
        <v>1.3143990828181851E-2</v>
      </c>
      <c r="D12">
        <v>1.5072789736210091E-2</v>
      </c>
      <c r="E12">
        <v>1.538149393425634E-2</v>
      </c>
      <c r="F12">
        <v>2.0526022599134809E-2</v>
      </c>
      <c r="G12">
        <v>1.8075722331206301E-2</v>
      </c>
      <c r="H12">
        <v>2.094985841884555E-2</v>
      </c>
      <c r="I12">
        <v>1.9176579483179301E-2</v>
      </c>
      <c r="J12">
        <v>2.152899820064123E-2</v>
      </c>
      <c r="K12">
        <v>1.9899063868677729E-2</v>
      </c>
      <c r="L12">
        <v>1.958045379420147E-2</v>
      </c>
      <c r="M12">
        <v>1.835705924368685E-2</v>
      </c>
      <c r="N12">
        <v>1.303677126319003E-3</v>
      </c>
      <c r="O12">
        <v>6.8055084301520746E-3</v>
      </c>
      <c r="P12">
        <v>6.9973890646150066E-3</v>
      </c>
      <c r="Q12">
        <v>2.028724022188812E-3</v>
      </c>
      <c r="R12">
        <v>8.6066123518540698E-3</v>
      </c>
    </row>
    <row r="13" spans="1:18" x14ac:dyDescent="0.25">
      <c r="A13">
        <v>2016</v>
      </c>
      <c r="B13">
        <v>1.3552237761721059E-2</v>
      </c>
      <c r="C13">
        <v>1.442023237392636E-2</v>
      </c>
      <c r="D13">
        <v>1.3931205996414779E-2</v>
      </c>
      <c r="E13">
        <v>1.4205200838788821E-2</v>
      </c>
      <c r="F13">
        <v>1.9510800576668982E-2</v>
      </c>
      <c r="G13">
        <v>1.6848545259682862E-2</v>
      </c>
      <c r="H13">
        <v>1.71995108792618E-2</v>
      </c>
      <c r="I13">
        <v>1.5586500424854171E-2</v>
      </c>
      <c r="J13">
        <v>1.8868526405789759E-2</v>
      </c>
      <c r="K13">
        <v>1.690701653601321E-2</v>
      </c>
      <c r="L13">
        <v>1.5846343997884649E-2</v>
      </c>
      <c r="M13">
        <v>1.5379293407509039E-2</v>
      </c>
      <c r="N13">
        <v>1.2772189228635301E-3</v>
      </c>
      <c r="O13">
        <v>5.4733238327435508E-3</v>
      </c>
      <c r="P13">
        <v>6.7924760177318E-3</v>
      </c>
      <c r="Q13">
        <v>1.3451547562718001E-3</v>
      </c>
      <c r="R13">
        <v>8.0427495926566148E-3</v>
      </c>
    </row>
    <row r="14" spans="1:18" x14ac:dyDescent="0.25">
      <c r="A14">
        <v>2017</v>
      </c>
      <c r="B14">
        <v>1.3936648775088789E-2</v>
      </c>
      <c r="C14">
        <v>1.4908188734654861E-2</v>
      </c>
      <c r="D14">
        <v>1.4399236447717021E-2</v>
      </c>
      <c r="E14">
        <v>1.6564818881338601E-2</v>
      </c>
      <c r="F14">
        <v>1.8214126019230871E-2</v>
      </c>
      <c r="G14">
        <v>1.761985359620679E-2</v>
      </c>
      <c r="H14">
        <v>1.7489623354843511E-2</v>
      </c>
      <c r="I14">
        <v>1.7113218644375899E-2</v>
      </c>
      <c r="J14">
        <v>2.3211740341208389E-2</v>
      </c>
      <c r="K14">
        <v>2.0719886849410538E-2</v>
      </c>
      <c r="L14">
        <v>1.966030320501664E-2</v>
      </c>
      <c r="M14">
        <v>1.733194515288811E-2</v>
      </c>
      <c r="N14">
        <v>1.1494472524232499E-3</v>
      </c>
      <c r="O14">
        <v>7.2612413974769254E-3</v>
      </c>
      <c r="P14">
        <v>6.2093620478887541E-3</v>
      </c>
      <c r="Q14">
        <v>6.6027542655601522E-4</v>
      </c>
      <c r="R14">
        <v>8.9345179552366236E-3</v>
      </c>
    </row>
    <row r="15" spans="1:18" x14ac:dyDescent="0.25">
      <c r="A15">
        <v>2018</v>
      </c>
      <c r="B15">
        <v>1.1880099302344431E-2</v>
      </c>
      <c r="C15">
        <v>1.382963505756515E-2</v>
      </c>
      <c r="D15">
        <v>9.5021350543021792E-3</v>
      </c>
      <c r="E15">
        <v>1.3385812005681249E-2</v>
      </c>
      <c r="F15">
        <v>1.6566208651903828E-2</v>
      </c>
      <c r="G15">
        <v>1.6405224140899531E-2</v>
      </c>
      <c r="H15">
        <v>1.605221553024443E-2</v>
      </c>
      <c r="I15">
        <v>1.583325966156509E-2</v>
      </c>
      <c r="J15">
        <v>2.1885046635385399E-2</v>
      </c>
      <c r="K15">
        <v>1.9770215788460489E-2</v>
      </c>
      <c r="L15">
        <v>1.9351299437534251E-2</v>
      </c>
      <c r="M15">
        <v>1.6988370221942758E-2</v>
      </c>
      <c r="N15">
        <v>8.4083162791230332E-4</v>
      </c>
      <c r="O15">
        <v>6.6141994186035254E-3</v>
      </c>
      <c r="P15">
        <v>5.2804737321754903E-3</v>
      </c>
      <c r="Q15">
        <v>7.0624512200470634E-4</v>
      </c>
      <c r="R15">
        <v>7.7448947898013862E-3</v>
      </c>
    </row>
    <row r="16" spans="1:18" x14ac:dyDescent="0.25">
      <c r="A16">
        <v>2019</v>
      </c>
      <c r="B16">
        <v>1.186030085630297E-2</v>
      </c>
      <c r="C16">
        <v>1.490790303524794E-2</v>
      </c>
      <c r="D16">
        <v>1.221693299598273E-2</v>
      </c>
      <c r="E16">
        <v>1.6738290724100269E-2</v>
      </c>
      <c r="F16">
        <v>1.379611543873804E-2</v>
      </c>
      <c r="G16">
        <v>1.5681399845145879E-2</v>
      </c>
      <c r="H16">
        <v>1.6090983288646749E-2</v>
      </c>
      <c r="I16">
        <v>1.807687987513212E-2</v>
      </c>
      <c r="J16">
        <v>1.92866685424543E-2</v>
      </c>
      <c r="K16">
        <v>2.035197442102268E-2</v>
      </c>
      <c r="L16">
        <v>1.8953815238258759E-2</v>
      </c>
      <c r="M16">
        <v>1.8408909601643739E-2</v>
      </c>
      <c r="N16">
        <v>1.1553619761407929E-3</v>
      </c>
      <c r="O16">
        <v>6.8055071799915006E-3</v>
      </c>
      <c r="P16">
        <v>4.6639643260332131E-3</v>
      </c>
      <c r="Q16">
        <v>1.24518782073772E-3</v>
      </c>
      <c r="R16">
        <v>6.1014822005336679E-3</v>
      </c>
    </row>
    <row r="17" spans="1:18" x14ac:dyDescent="0.25">
      <c r="A17">
        <v>2020</v>
      </c>
      <c r="B17">
        <v>1.554302619376016E-2</v>
      </c>
      <c r="C17">
        <v>1.8038458500932251E-2</v>
      </c>
      <c r="D17">
        <v>1.7374871484541771E-2</v>
      </c>
      <c r="E17">
        <v>2.0000333320987339E-2</v>
      </c>
      <c r="F17">
        <v>1.523360143825349E-2</v>
      </c>
      <c r="G17">
        <v>1.577349212297674E-2</v>
      </c>
      <c r="H17">
        <v>1.6064152483054889E-2</v>
      </c>
      <c r="I17">
        <v>1.789102026388957E-2</v>
      </c>
      <c r="J17">
        <v>1.7520122582460568E-2</v>
      </c>
      <c r="K17">
        <v>2.1559420852785269E-2</v>
      </c>
      <c r="L17">
        <v>1.6365159626918091E-2</v>
      </c>
      <c r="M17">
        <v>1.6637590048580331E-2</v>
      </c>
      <c r="N17">
        <v>3.2608065102666722E-4</v>
      </c>
      <c r="O17">
        <v>3.6658034147274091E-3</v>
      </c>
      <c r="P17">
        <v>2.640435047216332E-3</v>
      </c>
      <c r="Q17">
        <v>2.1452167507669489E-4</v>
      </c>
      <c r="R17">
        <v>5.890588364013162E-3</v>
      </c>
    </row>
    <row r="18" spans="1:18" x14ac:dyDescent="0.25">
      <c r="A18">
        <v>2021</v>
      </c>
      <c r="B18">
        <v>4.8859317843014942E-2</v>
      </c>
      <c r="C18">
        <v>4.7676043394349117E-2</v>
      </c>
      <c r="D18">
        <v>6.2000640300529222E-2</v>
      </c>
      <c r="E18">
        <v>6.0602036349541068E-2</v>
      </c>
      <c r="F18">
        <v>5.0046124286912012E-2</v>
      </c>
      <c r="G18">
        <v>4.1153748685408692E-2</v>
      </c>
      <c r="H18">
        <v>5.4303904221509332E-2</v>
      </c>
      <c r="I18">
        <v>5.1168797215299933E-2</v>
      </c>
      <c r="J18">
        <v>4.8391855551011102E-2</v>
      </c>
      <c r="K18">
        <v>4.6319402800833048E-2</v>
      </c>
      <c r="L18">
        <v>5.7044465164153089E-2</v>
      </c>
      <c r="M18">
        <v>5.7641036673395048E-2</v>
      </c>
      <c r="N18">
        <v>1.735759681493194E-3</v>
      </c>
      <c r="O18">
        <v>9.6827885423609542E-3</v>
      </c>
      <c r="P18">
        <v>1.1413715589759401E-2</v>
      </c>
      <c r="Q18">
        <v>3.4707537698127821E-3</v>
      </c>
      <c r="R18">
        <v>2.5006388368067459E-2</v>
      </c>
    </row>
    <row r="19" spans="1:18" x14ac:dyDescent="0.25">
      <c r="A19">
        <v>2022</v>
      </c>
      <c r="B19">
        <v>4.6741598439984162E-2</v>
      </c>
      <c r="C19">
        <v>4.3616668813087837E-2</v>
      </c>
      <c r="D19">
        <v>5.726075419860284E-2</v>
      </c>
      <c r="E19">
        <v>5.4460548432864922E-2</v>
      </c>
      <c r="F19">
        <v>4.7854825536673841E-2</v>
      </c>
      <c r="G19">
        <v>3.7963560869273577E-2</v>
      </c>
      <c r="H19">
        <v>5.217382163737256E-2</v>
      </c>
      <c r="I19">
        <v>4.7145238797512042E-2</v>
      </c>
      <c r="J19">
        <v>4.4228307027717753E-2</v>
      </c>
      <c r="K19">
        <v>3.9968758627498539E-2</v>
      </c>
      <c r="L19">
        <v>5.3051000882118643E-2</v>
      </c>
      <c r="M19">
        <v>5.1578406372759782E-2</v>
      </c>
      <c r="N19">
        <v>1.8857036024318779E-3</v>
      </c>
      <c r="O19">
        <v>9.817479941732531E-3</v>
      </c>
      <c r="P19">
        <v>1.1754244266898769E-2</v>
      </c>
      <c r="Q19">
        <v>3.5426774805598052E-3</v>
      </c>
      <c r="R19">
        <v>2.5087026132146271E-2</v>
      </c>
    </row>
    <row r="20" spans="1:18" x14ac:dyDescent="0.25">
      <c r="A20">
        <v>2023</v>
      </c>
      <c r="B20">
        <v>6.4694831553353496E-2</v>
      </c>
      <c r="C20">
        <v>7.1024551606134106E-2</v>
      </c>
      <c r="D20">
        <v>7.7750935811893351E-2</v>
      </c>
      <c r="E20">
        <v>7.5453668806677254E-2</v>
      </c>
      <c r="F20">
        <v>6.3497828767877157E-2</v>
      </c>
      <c r="G20">
        <v>6.4126755905100724E-2</v>
      </c>
      <c r="H20">
        <v>7.2139427414817298E-2</v>
      </c>
      <c r="I20">
        <v>7.4538624700343614E-2</v>
      </c>
      <c r="J20">
        <v>5.6843284411556512E-2</v>
      </c>
      <c r="K20">
        <v>5.5602899497021678E-2</v>
      </c>
      <c r="L20">
        <v>6.7996275393523029E-2</v>
      </c>
      <c r="M20">
        <v>7.231168348173353E-2</v>
      </c>
      <c r="N20">
        <v>1.2729666880592041E-2</v>
      </c>
      <c r="O20">
        <v>2.4688261757197062E-2</v>
      </c>
      <c r="P20">
        <v>3.120302282075384E-2</v>
      </c>
      <c r="Q20">
        <v>1.416693127860125E-2</v>
      </c>
      <c r="R20">
        <v>3.8171459107280738E-2</v>
      </c>
    </row>
    <row r="21" spans="1:18" x14ac:dyDescent="0.25">
      <c r="A21">
        <v>2024</v>
      </c>
      <c r="B21">
        <v>4.5727975184248787E-2</v>
      </c>
      <c r="C21">
        <v>5.7049383157099558E-2</v>
      </c>
      <c r="D21">
        <v>5.3539209440771757E-2</v>
      </c>
      <c r="E21">
        <v>5.5036237630316127E-2</v>
      </c>
      <c r="F21">
        <v>4.2958089400731647E-2</v>
      </c>
      <c r="G21">
        <v>5.674890890005211E-2</v>
      </c>
      <c r="H21">
        <v>4.8488756124084383E-2</v>
      </c>
      <c r="I21">
        <v>5.8370026478347853E-2</v>
      </c>
      <c r="J21">
        <v>3.9767711104206717E-2</v>
      </c>
      <c r="K21">
        <v>4.5821605436988273E-2</v>
      </c>
      <c r="L21">
        <v>3.8856231575196708E-2</v>
      </c>
      <c r="M21">
        <v>4.4438514987800007E-2</v>
      </c>
      <c r="N21">
        <v>1.928028766661341E-2</v>
      </c>
      <c r="O21">
        <v>2.8435365774102089E-2</v>
      </c>
      <c r="P21">
        <v>3.2631852829564802E-2</v>
      </c>
      <c r="Q21">
        <v>1.9453730181283799E-2</v>
      </c>
      <c r="R21">
        <v>2.7450708702443372E-2</v>
      </c>
    </row>
    <row r="22" spans="1:18" x14ac:dyDescent="0.25">
      <c r="A22">
        <v>2025</v>
      </c>
      <c r="B22">
        <v>4.897696273514774E-2</v>
      </c>
      <c r="C22">
        <v>5.8296010471235893E-2</v>
      </c>
      <c r="D22">
        <v>6.1353790297032612E-2</v>
      </c>
      <c r="E22">
        <v>6.4662440987099126E-2</v>
      </c>
      <c r="F22">
        <v>4.4516717728003828E-2</v>
      </c>
      <c r="G22">
        <v>5.8747956918615597E-2</v>
      </c>
      <c r="H22">
        <v>5.0365330112868083E-2</v>
      </c>
      <c r="I22">
        <v>6.1298667714290239E-2</v>
      </c>
      <c r="J22">
        <v>4.0650583055781807E-2</v>
      </c>
      <c r="K22">
        <v>4.7752352843455782E-2</v>
      </c>
      <c r="L22">
        <v>3.7532935386562959E-2</v>
      </c>
      <c r="M22">
        <v>4.3811170583659367E-2</v>
      </c>
      <c r="N22">
        <v>2.224495276685097E-2</v>
      </c>
      <c r="O22">
        <v>3.1521121828236923E-2</v>
      </c>
      <c r="P22">
        <v>3.5087286381206527E-2</v>
      </c>
      <c r="Q22">
        <v>2.129663971893371E-2</v>
      </c>
      <c r="R22">
        <v>2.89862206277673E-2</v>
      </c>
    </row>
    <row r="25" spans="1:18" x14ac:dyDescent="0.25">
      <c r="A25" t="s">
        <v>60</v>
      </c>
    </row>
    <row r="26" spans="1:18" x14ac:dyDescent="0.25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</row>
    <row r="27" spans="1:18" x14ac:dyDescent="0.25">
      <c r="A27">
        <v>2008</v>
      </c>
      <c r="B27">
        <v>6.3294856944275503E-3</v>
      </c>
      <c r="C27">
        <v>7.4170851129648982E-3</v>
      </c>
      <c r="D27">
        <v>7.9347823631893046E-3</v>
      </c>
      <c r="E27">
        <v>1.1247780632664441E-2</v>
      </c>
      <c r="F27">
        <v>8.9504013186487586E-3</v>
      </c>
      <c r="G27">
        <v>9.1915453575823411E-3</v>
      </c>
      <c r="H27">
        <v>8.7520159722603054E-3</v>
      </c>
      <c r="I27">
        <v>1.057253355165152E-2</v>
      </c>
      <c r="J27">
        <v>1.654218259165758E-2</v>
      </c>
      <c r="K27">
        <v>1.6941275957368041E-2</v>
      </c>
      <c r="L27">
        <v>1.5439721574173551E-2</v>
      </c>
      <c r="M27">
        <v>1.5724329854865209E-2</v>
      </c>
      <c r="N27">
        <v>6.5405635967711283E-4</v>
      </c>
      <c r="O27">
        <v>3.086349225098625E-3</v>
      </c>
      <c r="P27">
        <v>2.3762915658490048E-3</v>
      </c>
      <c r="Q27">
        <v>6.7599787320303387E-4</v>
      </c>
      <c r="R27">
        <v>3.4542887358264759E-3</v>
      </c>
    </row>
    <row r="28" spans="1:18" x14ac:dyDescent="0.25">
      <c r="A28">
        <v>2009</v>
      </c>
      <c r="B28">
        <v>2.2596487299966082E-2</v>
      </c>
      <c r="C28">
        <v>2.5409257401714791E-2</v>
      </c>
      <c r="D28">
        <v>2.4604829505891809E-2</v>
      </c>
      <c r="E28">
        <v>3.002263362531548E-2</v>
      </c>
      <c r="F28">
        <v>3.1384400300177001E-2</v>
      </c>
      <c r="G28">
        <v>3.1961078691007963E-2</v>
      </c>
      <c r="H28">
        <v>3.492397717229858E-2</v>
      </c>
      <c r="I28">
        <v>3.780813668358915E-2</v>
      </c>
      <c r="J28">
        <v>4.3119362666030447E-2</v>
      </c>
      <c r="K28">
        <v>4.5241817813431208E-2</v>
      </c>
      <c r="L28">
        <v>4.7800122782827588E-2</v>
      </c>
      <c r="M28">
        <v>5.0259221254291317E-2</v>
      </c>
      <c r="N28">
        <v>4.3315616294918426E-3</v>
      </c>
      <c r="O28">
        <v>9.8599498070733056E-3</v>
      </c>
      <c r="P28">
        <v>1.5120356376230231E-2</v>
      </c>
      <c r="Q28">
        <v>4.6532560757944937E-3</v>
      </c>
      <c r="R28">
        <v>2.2771537835682171E-2</v>
      </c>
    </row>
    <row r="29" spans="1:18" x14ac:dyDescent="0.25">
      <c r="A29">
        <v>2010</v>
      </c>
      <c r="B29">
        <v>5.121614585249467E-2</v>
      </c>
      <c r="C29">
        <v>4.7102972157662383E-2</v>
      </c>
      <c r="D29">
        <v>5.5106906949293752E-2</v>
      </c>
      <c r="E29">
        <v>5.4579485311717642E-2</v>
      </c>
      <c r="F29">
        <v>6.2780302379582237E-2</v>
      </c>
      <c r="G29">
        <v>5.6406447593017342E-2</v>
      </c>
      <c r="H29">
        <v>6.4803157854810028E-2</v>
      </c>
      <c r="I29">
        <v>6.2445562871218017E-2</v>
      </c>
      <c r="J29">
        <v>7.5298176232067152E-2</v>
      </c>
      <c r="K29">
        <v>7.4509738796168984E-2</v>
      </c>
      <c r="L29">
        <v>8.2721701894421754E-2</v>
      </c>
      <c r="M29">
        <v>8.385382350380767E-2</v>
      </c>
      <c r="N29">
        <v>6.6080686431391434E-3</v>
      </c>
      <c r="O29">
        <v>1.9093197498497371E-2</v>
      </c>
      <c r="P29">
        <v>2.3990140742186441E-2</v>
      </c>
      <c r="Q29">
        <v>5.4590492813534177E-3</v>
      </c>
      <c r="R29">
        <v>3.5454353971770998E-2</v>
      </c>
    </row>
    <row r="30" spans="1:18" x14ac:dyDescent="0.25">
      <c r="A30">
        <v>2011</v>
      </c>
      <c r="B30">
        <v>6.4029460779054082E-2</v>
      </c>
      <c r="C30">
        <v>5.9642326697143477E-2</v>
      </c>
      <c r="D30">
        <v>7.1283083774869554E-2</v>
      </c>
      <c r="E30">
        <v>6.9261965949266827E-2</v>
      </c>
      <c r="F30">
        <v>7.8161144374852803E-2</v>
      </c>
      <c r="G30">
        <v>6.9769738362099792E-2</v>
      </c>
      <c r="H30">
        <v>8.0517229249612216E-2</v>
      </c>
      <c r="I30">
        <v>7.7735633786191638E-2</v>
      </c>
      <c r="J30">
        <v>8.6156423374899996E-2</v>
      </c>
      <c r="K30">
        <v>8.5814266816482646E-2</v>
      </c>
      <c r="L30">
        <v>9.4920484868171062E-2</v>
      </c>
      <c r="M30">
        <v>9.4953129192393321E-2</v>
      </c>
      <c r="N30">
        <v>5.7347427182403632E-3</v>
      </c>
      <c r="O30">
        <v>2.408831223193254E-2</v>
      </c>
      <c r="P30">
        <v>2.775143177056023E-2</v>
      </c>
      <c r="Q30">
        <v>4.7034036768378628E-3</v>
      </c>
      <c r="R30">
        <v>4.1031100614292992E-2</v>
      </c>
    </row>
    <row r="31" spans="1:18" x14ac:dyDescent="0.25">
      <c r="A31">
        <v>2012</v>
      </c>
      <c r="B31">
        <v>4.6266549802590207E-2</v>
      </c>
      <c r="C31">
        <v>3.8779946586026112E-2</v>
      </c>
      <c r="D31">
        <v>5.299152417427782E-2</v>
      </c>
      <c r="E31">
        <v>4.7290726601319458E-2</v>
      </c>
      <c r="F31">
        <v>5.2967167581364077E-2</v>
      </c>
      <c r="G31">
        <v>4.5836542131989323E-2</v>
      </c>
      <c r="H31">
        <v>5.0658449814814988E-2</v>
      </c>
      <c r="I31">
        <v>4.5791567942097183E-2</v>
      </c>
      <c r="J31">
        <v>5.3016257691018892E-2</v>
      </c>
      <c r="K31">
        <v>5.186551562871318E-2</v>
      </c>
      <c r="L31">
        <v>5.5483147635569892E-2</v>
      </c>
      <c r="M31">
        <v>5.2869941114270541E-2</v>
      </c>
      <c r="N31">
        <v>1.6675074768268091E-3</v>
      </c>
      <c r="O31">
        <v>1.909713228728269E-2</v>
      </c>
      <c r="P31">
        <v>1.5690260259856158E-2</v>
      </c>
      <c r="Q31">
        <v>-5.3164264793361749E-4</v>
      </c>
      <c r="R31">
        <v>1.9425731752743799E-2</v>
      </c>
    </row>
    <row r="32" spans="1:18" x14ac:dyDescent="0.25">
      <c r="A32">
        <v>2013</v>
      </c>
      <c r="B32">
        <v>2.408730602266369E-2</v>
      </c>
      <c r="C32">
        <v>2.5258746373470219E-2</v>
      </c>
      <c r="D32">
        <v>2.9062953984425439E-2</v>
      </c>
      <c r="E32">
        <v>3.0841096016204508E-2</v>
      </c>
      <c r="F32">
        <v>3.0580987246209321E-2</v>
      </c>
      <c r="G32">
        <v>2.9778602062808499E-2</v>
      </c>
      <c r="H32">
        <v>3.111971180402371E-2</v>
      </c>
      <c r="I32">
        <v>3.121197915775014E-2</v>
      </c>
      <c r="J32">
        <v>3.2171178622887507E-2</v>
      </c>
      <c r="K32">
        <v>3.2922484227517958E-2</v>
      </c>
      <c r="L32">
        <v>3.2333977601456322E-2</v>
      </c>
      <c r="M32">
        <v>3.0819625861498941E-2</v>
      </c>
      <c r="N32">
        <v>-8.4902037776363323E-4</v>
      </c>
      <c r="O32">
        <v>1.0366091937727331E-2</v>
      </c>
      <c r="P32">
        <v>8.1072232150293678E-3</v>
      </c>
      <c r="Q32">
        <v>-3.9632869753387901E-4</v>
      </c>
      <c r="R32">
        <v>1.322033745561868E-2</v>
      </c>
    </row>
    <row r="33" spans="1:18" x14ac:dyDescent="0.25">
      <c r="A33">
        <v>2014</v>
      </c>
      <c r="B33">
        <v>1.5824335361024681E-2</v>
      </c>
      <c r="C33">
        <v>1.6560138119037011E-2</v>
      </c>
      <c r="D33">
        <v>1.941941432760259E-2</v>
      </c>
      <c r="E33">
        <v>2.113655128572578E-2</v>
      </c>
      <c r="F33">
        <v>2.081246013890193E-2</v>
      </c>
      <c r="G33">
        <v>2.0611095035871281E-2</v>
      </c>
      <c r="H33">
        <v>2.1550224618753291E-2</v>
      </c>
      <c r="I33">
        <v>2.0888845293080421E-2</v>
      </c>
      <c r="J33">
        <v>2.340487255039082E-2</v>
      </c>
      <c r="K33">
        <v>2.323706748394095E-2</v>
      </c>
      <c r="L33">
        <v>2.3101916391204159E-2</v>
      </c>
      <c r="M33">
        <v>2.3094628118393429E-2</v>
      </c>
      <c r="N33">
        <v>5.2999463449241173E-4</v>
      </c>
      <c r="O33">
        <v>6.5593755174949437E-3</v>
      </c>
      <c r="P33">
        <v>6.5163328489548158E-3</v>
      </c>
      <c r="Q33">
        <v>1.040230461536852E-3</v>
      </c>
      <c r="R33">
        <v>9.976572544238449E-3</v>
      </c>
    </row>
    <row r="34" spans="1:18" x14ac:dyDescent="0.25">
      <c r="A34">
        <v>2015</v>
      </c>
      <c r="B34">
        <v>8.9188657481591924E-3</v>
      </c>
      <c r="C34">
        <v>1.0577894375342581E-2</v>
      </c>
      <c r="D34">
        <v>1.190657376711388E-2</v>
      </c>
      <c r="E34">
        <v>1.2522008119985171E-2</v>
      </c>
      <c r="F34">
        <v>1.2896879113576599E-2</v>
      </c>
      <c r="G34">
        <v>1.1960233148870011E-2</v>
      </c>
      <c r="H34">
        <v>1.3564852090770281E-2</v>
      </c>
      <c r="I34">
        <v>1.3094957982936009E-2</v>
      </c>
      <c r="J34">
        <v>1.4239424926033389E-2</v>
      </c>
      <c r="K34">
        <v>1.339843083778015E-2</v>
      </c>
      <c r="L34">
        <v>1.2830114015172081E-2</v>
      </c>
      <c r="M34">
        <v>1.2430939237810759E-2</v>
      </c>
      <c r="N34">
        <v>1.3372884413352379E-3</v>
      </c>
      <c r="O34">
        <v>4.8246271653345054E-3</v>
      </c>
      <c r="P34">
        <v>5.0732400253494713E-3</v>
      </c>
      <c r="Q34">
        <v>1.874569059130305E-3</v>
      </c>
      <c r="R34">
        <v>5.5149678168369349E-3</v>
      </c>
    </row>
    <row r="35" spans="1:18" x14ac:dyDescent="0.25">
      <c r="A35">
        <v>2016</v>
      </c>
      <c r="B35">
        <v>1.1160898894224841E-2</v>
      </c>
      <c r="C35">
        <v>1.2111776615001509E-2</v>
      </c>
      <c r="D35">
        <v>1.2219590538107479E-2</v>
      </c>
      <c r="E35">
        <v>1.276647951695504E-2</v>
      </c>
      <c r="F35">
        <v>1.356803942289175E-2</v>
      </c>
      <c r="G35">
        <v>1.221410440756914E-2</v>
      </c>
      <c r="H35">
        <v>1.178354266831807E-2</v>
      </c>
      <c r="I35">
        <v>1.100677340452951E-2</v>
      </c>
      <c r="J35">
        <v>1.2912154986387991E-2</v>
      </c>
      <c r="K35">
        <v>1.220268224356017E-2</v>
      </c>
      <c r="L35">
        <v>1.0876881835786121E-2</v>
      </c>
      <c r="M35">
        <v>1.0822421099469629E-2</v>
      </c>
      <c r="N35">
        <v>1.3742398603140741E-3</v>
      </c>
      <c r="O35">
        <v>3.722362408351308E-3</v>
      </c>
      <c r="P35">
        <v>5.0187919582140687E-3</v>
      </c>
      <c r="Q35">
        <v>1.356484607551363E-3</v>
      </c>
      <c r="R35">
        <v>5.6382074536110594E-3</v>
      </c>
    </row>
    <row r="36" spans="1:18" x14ac:dyDescent="0.25">
      <c r="A36">
        <v>2017</v>
      </c>
      <c r="B36">
        <v>1.163804146881032E-2</v>
      </c>
      <c r="C36">
        <v>1.2971217338066989E-2</v>
      </c>
      <c r="D36">
        <v>1.275545053884912E-2</v>
      </c>
      <c r="E36">
        <v>1.498830961030494E-2</v>
      </c>
      <c r="F36">
        <v>1.258593573237181E-2</v>
      </c>
      <c r="G36">
        <v>1.318006621175642E-2</v>
      </c>
      <c r="H36">
        <v>1.2167097247540601E-2</v>
      </c>
      <c r="I36">
        <v>1.2392180398577351E-2</v>
      </c>
      <c r="J36">
        <v>1.67928125674425E-2</v>
      </c>
      <c r="K36">
        <v>1.554800525696394E-2</v>
      </c>
      <c r="L36">
        <v>1.4173078664791439E-2</v>
      </c>
      <c r="M36">
        <v>1.251696482656965E-2</v>
      </c>
      <c r="N36">
        <v>1.241211556552774E-3</v>
      </c>
      <c r="O36">
        <v>5.3662468280958834E-3</v>
      </c>
      <c r="P36">
        <v>4.7933303930360197E-3</v>
      </c>
      <c r="Q36">
        <v>6.9920757036797114E-4</v>
      </c>
      <c r="R36">
        <v>6.1930381375938778E-3</v>
      </c>
    </row>
    <row r="37" spans="1:18" x14ac:dyDescent="0.25">
      <c r="A37">
        <v>2018</v>
      </c>
      <c r="B37">
        <v>9.7469873710571801E-3</v>
      </c>
      <c r="C37">
        <v>1.175925110097392E-2</v>
      </c>
      <c r="D37">
        <v>8.0239724493614741E-3</v>
      </c>
      <c r="E37">
        <v>1.1224620955486009E-2</v>
      </c>
      <c r="F37">
        <v>1.1184575190510729E-2</v>
      </c>
      <c r="G37">
        <v>1.202898284149201E-2</v>
      </c>
      <c r="H37">
        <v>1.1015276614743519E-2</v>
      </c>
      <c r="I37">
        <v>1.122965681243961E-2</v>
      </c>
      <c r="J37">
        <v>1.5897500557665652E-2</v>
      </c>
      <c r="K37">
        <v>1.4604840214914599E-2</v>
      </c>
      <c r="L37">
        <v>1.4252683749031421E-2</v>
      </c>
      <c r="M37">
        <v>1.243507645025319E-2</v>
      </c>
      <c r="N37">
        <v>8.1485502988083345E-4</v>
      </c>
      <c r="O37">
        <v>4.968288676968774E-3</v>
      </c>
      <c r="P37">
        <v>3.9785509011612116E-3</v>
      </c>
      <c r="Q37">
        <v>5.1486955375648331E-4</v>
      </c>
      <c r="R37">
        <v>5.2489669208521817E-3</v>
      </c>
    </row>
    <row r="38" spans="1:18" x14ac:dyDescent="0.25">
      <c r="A38">
        <v>2019</v>
      </c>
      <c r="B38">
        <v>1.035507249045033E-2</v>
      </c>
      <c r="C38">
        <v>1.4044903593488169E-2</v>
      </c>
      <c r="D38">
        <v>1.108575125534106E-2</v>
      </c>
      <c r="E38">
        <v>1.5642628141225811E-2</v>
      </c>
      <c r="F38">
        <v>9.5955358596574499E-3</v>
      </c>
      <c r="G38">
        <v>1.2841391545650151E-2</v>
      </c>
      <c r="H38">
        <v>1.2222767448010281E-2</v>
      </c>
      <c r="I38">
        <v>1.489598848872112E-2</v>
      </c>
      <c r="J38">
        <v>1.5306949989677569E-2</v>
      </c>
      <c r="K38">
        <v>1.6933525800545961E-2</v>
      </c>
      <c r="L38">
        <v>1.5543408699408691E-2</v>
      </c>
      <c r="M38">
        <v>1.570243817262135E-2</v>
      </c>
      <c r="N38">
        <v>1.2551076638968859E-3</v>
      </c>
      <c r="O38">
        <v>5.8028743751498543E-3</v>
      </c>
      <c r="P38">
        <v>3.835219517201646E-3</v>
      </c>
      <c r="Q38">
        <v>1.226888516540343E-3</v>
      </c>
      <c r="R38">
        <v>4.2520761764671417E-3</v>
      </c>
    </row>
    <row r="39" spans="1:18" x14ac:dyDescent="0.25">
      <c r="A39">
        <v>2020</v>
      </c>
      <c r="B39">
        <v>1.351036337339504E-2</v>
      </c>
      <c r="C39">
        <v>1.6688759857558039E-2</v>
      </c>
      <c r="D39">
        <v>1.5128579457590731E-2</v>
      </c>
      <c r="E39">
        <v>1.829190723138013E-2</v>
      </c>
      <c r="F39">
        <v>1.169069828673262E-2</v>
      </c>
      <c r="G39">
        <v>1.3479319522516639E-2</v>
      </c>
      <c r="H39">
        <v>1.303998140964692E-2</v>
      </c>
      <c r="I39">
        <v>1.528552652681872E-2</v>
      </c>
      <c r="J39">
        <v>1.3904686054181541E-2</v>
      </c>
      <c r="K39">
        <v>1.8076945087003679E-2</v>
      </c>
      <c r="L39">
        <v>1.355564281160123E-2</v>
      </c>
      <c r="M39">
        <v>1.4257778399230731E-2</v>
      </c>
      <c r="N39">
        <v>7.8852279981618035E-4</v>
      </c>
      <c r="O39">
        <v>3.29251015266199E-3</v>
      </c>
      <c r="P39">
        <v>2.4970893914009521E-3</v>
      </c>
      <c r="Q39">
        <v>5.4678558003382668E-4</v>
      </c>
      <c r="R39">
        <v>4.4815806673786322E-3</v>
      </c>
    </row>
    <row r="40" spans="1:18" x14ac:dyDescent="0.25">
      <c r="A40">
        <v>2021</v>
      </c>
      <c r="B40">
        <v>4.0713224879274389E-2</v>
      </c>
      <c r="C40">
        <v>4.0978116655823293E-2</v>
      </c>
      <c r="D40">
        <v>5.1248492568356327E-2</v>
      </c>
      <c r="E40">
        <v>5.100428464727659E-2</v>
      </c>
      <c r="F40">
        <v>4.0913840577491097E-2</v>
      </c>
      <c r="G40">
        <v>3.4843112372483102E-2</v>
      </c>
      <c r="H40">
        <v>4.4674817468244657E-2</v>
      </c>
      <c r="I40">
        <v>4.2793639025071342E-2</v>
      </c>
      <c r="J40">
        <v>3.9661244013664478E-2</v>
      </c>
      <c r="K40">
        <v>3.8774405421595687E-2</v>
      </c>
      <c r="L40">
        <v>4.6987122719601253E-2</v>
      </c>
      <c r="M40">
        <v>4.8137786139059731E-2</v>
      </c>
      <c r="N40">
        <v>1.9464522406510559E-3</v>
      </c>
      <c r="O40">
        <v>8.3447268860762404E-3</v>
      </c>
      <c r="P40">
        <v>9.7559648222368331E-3</v>
      </c>
      <c r="Q40">
        <v>2.752820671106371E-3</v>
      </c>
      <c r="R40">
        <v>1.982604610352693E-2</v>
      </c>
    </row>
    <row r="41" spans="1:18" x14ac:dyDescent="0.25">
      <c r="A41">
        <v>2022</v>
      </c>
      <c r="B41">
        <v>3.8310774547277708E-2</v>
      </c>
      <c r="C41">
        <v>3.7483718321143923E-2</v>
      </c>
      <c r="D41">
        <v>4.5643089132518133E-2</v>
      </c>
      <c r="E41">
        <v>4.4564152586695008E-2</v>
      </c>
      <c r="F41">
        <v>3.8625938651921592E-2</v>
      </c>
      <c r="G41">
        <v>3.1787177422018469E-2</v>
      </c>
      <c r="H41">
        <v>4.2258739918836281E-2</v>
      </c>
      <c r="I41">
        <v>3.871122959584173E-2</v>
      </c>
      <c r="J41">
        <v>3.5517764051643613E-2</v>
      </c>
      <c r="K41">
        <v>3.2461483563884848E-2</v>
      </c>
      <c r="L41">
        <v>4.2532337939931122E-2</v>
      </c>
      <c r="M41">
        <v>4.1700763182854997E-2</v>
      </c>
      <c r="N41">
        <v>2.055875013352975E-3</v>
      </c>
      <c r="O41">
        <v>8.5189386675779983E-3</v>
      </c>
      <c r="P41">
        <v>1.0314408711919651E-2</v>
      </c>
      <c r="Q41">
        <v>2.717174224933846E-3</v>
      </c>
      <c r="R41">
        <v>1.9855568855489569E-2</v>
      </c>
    </row>
    <row r="42" spans="1:18" x14ac:dyDescent="0.25">
      <c r="A42">
        <v>2023</v>
      </c>
      <c r="B42">
        <v>5.514789106829323E-2</v>
      </c>
      <c r="C42">
        <v>6.3372074966313419E-2</v>
      </c>
      <c r="D42">
        <v>6.5305530821534286E-2</v>
      </c>
      <c r="E42">
        <v>6.4804430563155116E-2</v>
      </c>
      <c r="F42">
        <v>5.3395860642705711E-2</v>
      </c>
      <c r="G42">
        <v>5.6630124554863707E-2</v>
      </c>
      <c r="H42">
        <v>6.0974574153091099E-2</v>
      </c>
      <c r="I42">
        <v>6.4629500973069715E-2</v>
      </c>
      <c r="J42">
        <v>4.8295809731670858E-2</v>
      </c>
      <c r="K42">
        <v>4.8237294308483322E-2</v>
      </c>
      <c r="L42">
        <v>5.6427482503934853E-2</v>
      </c>
      <c r="M42">
        <v>6.1127126202334459E-2</v>
      </c>
      <c r="N42">
        <v>1.237429691514024E-2</v>
      </c>
      <c r="O42">
        <v>2.259903936543969E-2</v>
      </c>
      <c r="P42">
        <v>2.860188699507496E-2</v>
      </c>
      <c r="Q42">
        <v>1.284652191340787E-2</v>
      </c>
      <c r="R42">
        <v>3.1936167031331827E-2</v>
      </c>
    </row>
    <row r="43" spans="1:18" x14ac:dyDescent="0.25">
      <c r="A43">
        <v>2024</v>
      </c>
      <c r="B43">
        <v>4.1101712684749249E-2</v>
      </c>
      <c r="C43">
        <v>5.4719240591428422E-2</v>
      </c>
      <c r="D43">
        <v>4.7859018854751301E-2</v>
      </c>
      <c r="E43">
        <v>5.1128760052343521E-2</v>
      </c>
      <c r="F43">
        <v>3.7672025199072583E-2</v>
      </c>
      <c r="G43">
        <v>5.2762118896639759E-2</v>
      </c>
      <c r="H43">
        <v>4.3142044175331608E-2</v>
      </c>
      <c r="I43">
        <v>5.3564502412096322E-2</v>
      </c>
      <c r="J43">
        <v>3.607603725620534E-2</v>
      </c>
      <c r="K43">
        <v>4.2389795694910172E-2</v>
      </c>
      <c r="L43">
        <v>3.438702276044743E-2</v>
      </c>
      <c r="M43">
        <v>4.0073165296736428E-2</v>
      </c>
      <c r="N43">
        <v>1.9000021407567749E-2</v>
      </c>
      <c r="O43">
        <v>2.7073087570101299E-2</v>
      </c>
      <c r="P43">
        <v>3.1429187913649917E-2</v>
      </c>
      <c r="Q43">
        <v>1.8925880403875339E-2</v>
      </c>
      <c r="R43">
        <v>2.4701330857109419E-2</v>
      </c>
    </row>
    <row r="44" spans="1:18" x14ac:dyDescent="0.25">
      <c r="A44">
        <v>2025</v>
      </c>
      <c r="B44">
        <v>4.5624917082447661E-2</v>
      </c>
      <c r="C44">
        <v>5.6329894087715132E-2</v>
      </c>
      <c r="D44">
        <v>5.7491901149489509E-2</v>
      </c>
      <c r="E44">
        <v>6.1896188929644477E-2</v>
      </c>
      <c r="F44">
        <v>4.0533689346686178E-2</v>
      </c>
      <c r="G44">
        <v>5.5488488063915771E-2</v>
      </c>
      <c r="H44">
        <v>4.6308782068491559E-2</v>
      </c>
      <c r="I44">
        <v>5.738550640809896E-2</v>
      </c>
      <c r="J44">
        <v>3.7967297158291828E-2</v>
      </c>
      <c r="K44">
        <v>4.4870717144190893E-2</v>
      </c>
      <c r="L44">
        <v>3.4159351370397467E-2</v>
      </c>
      <c r="M44">
        <v>4.0222048922010097E-2</v>
      </c>
      <c r="N44">
        <v>2.207912897582592E-2</v>
      </c>
      <c r="O44">
        <v>3.0328293842591392E-2</v>
      </c>
      <c r="P44">
        <v>3.3773988942178687E-2</v>
      </c>
      <c r="Q44">
        <v>2.0838446608994698E-2</v>
      </c>
      <c r="R44">
        <v>2.6727228716018611E-2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1"/>
  <sheetViews>
    <sheetView workbookViewId="0"/>
  </sheetViews>
  <sheetFormatPr defaultRowHeight="14.4" x14ac:dyDescent="0.25"/>
  <sheetData>
    <row r="1" spans="1:18" ht="15.6" x14ac:dyDescent="0.25">
      <c r="A1" s="3" t="s">
        <v>61</v>
      </c>
    </row>
    <row r="3" spans="1:18" x14ac:dyDescent="0.25">
      <c r="A3" s="4" t="s">
        <v>62</v>
      </c>
    </row>
    <row r="4" spans="1:18" x14ac:dyDescent="0.25"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</row>
    <row r="5" spans="1:18" x14ac:dyDescent="0.25">
      <c r="A5" t="s">
        <v>29</v>
      </c>
      <c r="B5">
        <v>2.8532659264364098E-2</v>
      </c>
      <c r="C5">
        <v>2.6336277218311731E-2</v>
      </c>
      <c r="D5">
        <v>3.6700932983979702E-2</v>
      </c>
      <c r="E5">
        <v>3.5440294855269242E-2</v>
      </c>
      <c r="F5">
        <v>2.346505327655285E-2</v>
      </c>
      <c r="G5">
        <v>2.7118520358172301E-2</v>
      </c>
      <c r="H5">
        <v>2.5540081813976521E-2</v>
      </c>
      <c r="I5">
        <v>2.9016456277075851E-2</v>
      </c>
      <c r="J5">
        <v>1.685830848406783E-2</v>
      </c>
      <c r="K5">
        <v>1.8704108372271058E-2</v>
      </c>
      <c r="L5">
        <v>1.6871746951464959E-2</v>
      </c>
      <c r="M5">
        <v>1.858692839663216E-2</v>
      </c>
      <c r="N5">
        <v>9.0642569623406635E-3</v>
      </c>
      <c r="O5">
        <v>1.325957776051152E-2</v>
      </c>
      <c r="P5">
        <v>1.5629975834026259E-2</v>
      </c>
      <c r="Q5">
        <v>8.7110381510983048E-3</v>
      </c>
      <c r="R5">
        <v>1.358202158238205E-2</v>
      </c>
    </row>
    <row r="6" spans="1:18" x14ac:dyDescent="0.25">
      <c r="A6" t="s">
        <v>30</v>
      </c>
      <c r="B6">
        <v>2.6336277218311731E-2</v>
      </c>
      <c r="C6">
        <v>4.2513644836374979E-2</v>
      </c>
      <c r="D6">
        <v>3.2965874363038078E-2</v>
      </c>
      <c r="E6">
        <v>3.9916248325009229E-2</v>
      </c>
      <c r="F6">
        <v>1.926685201949916E-2</v>
      </c>
      <c r="G6">
        <v>3.3002399299448038E-2</v>
      </c>
      <c r="H6">
        <v>2.2841432611875139E-2</v>
      </c>
      <c r="I6">
        <v>3.2619259622107051E-2</v>
      </c>
      <c r="J6">
        <v>1.9012110036051261E-2</v>
      </c>
      <c r="K6">
        <v>2.3697441172589321E-2</v>
      </c>
      <c r="L6">
        <v>1.9783646879743131E-2</v>
      </c>
      <c r="M6">
        <v>2.5457002509038072E-2</v>
      </c>
      <c r="N6">
        <v>1.1050182365631959E-2</v>
      </c>
      <c r="O6">
        <v>1.446059815942298E-2</v>
      </c>
      <c r="P6">
        <v>1.8346126284594359E-2</v>
      </c>
      <c r="Q6">
        <v>1.097240708756324E-2</v>
      </c>
      <c r="R6">
        <v>1.554898968342339E-2</v>
      </c>
    </row>
    <row r="7" spans="1:18" x14ac:dyDescent="0.25">
      <c r="A7" t="s">
        <v>31</v>
      </c>
      <c r="B7">
        <v>3.6700932983979702E-2</v>
      </c>
      <c r="C7">
        <v>3.2965874363038078E-2</v>
      </c>
      <c r="D7">
        <v>5.6492413586729212E-2</v>
      </c>
      <c r="E7">
        <v>5.3909285460691653E-2</v>
      </c>
      <c r="F7">
        <v>2.879636728180196E-2</v>
      </c>
      <c r="G7">
        <v>3.2619398984124581E-2</v>
      </c>
      <c r="H7">
        <v>3.3518589853807568E-2</v>
      </c>
      <c r="I7">
        <v>3.8039812915358837E-2</v>
      </c>
      <c r="J7">
        <v>1.9842643566070801E-2</v>
      </c>
      <c r="K7">
        <v>2.108700014986439E-2</v>
      </c>
      <c r="L7">
        <v>2.0770211859719539E-2</v>
      </c>
      <c r="M7">
        <v>2.2852329702297971E-2</v>
      </c>
      <c r="N7">
        <v>1.143833018380485E-2</v>
      </c>
      <c r="O7">
        <v>1.5983109264041818E-2</v>
      </c>
      <c r="P7">
        <v>1.928662024228087E-2</v>
      </c>
      <c r="Q7">
        <v>1.0768851297716601E-2</v>
      </c>
      <c r="R7">
        <v>1.6874628545025281E-2</v>
      </c>
    </row>
    <row r="8" spans="1:18" x14ac:dyDescent="0.25">
      <c r="A8" t="s">
        <v>32</v>
      </c>
      <c r="B8">
        <v>3.5440294855269242E-2</v>
      </c>
      <c r="C8">
        <v>3.9916248325009222E-2</v>
      </c>
      <c r="D8">
        <v>5.3909285460691653E-2</v>
      </c>
      <c r="E8">
        <v>5.9209190248754137E-2</v>
      </c>
      <c r="F8">
        <v>2.480768245157362E-2</v>
      </c>
      <c r="G8">
        <v>3.5799572275466963E-2</v>
      </c>
      <c r="H8">
        <v>3.0637500771527999E-2</v>
      </c>
      <c r="I8">
        <v>3.946801557387427E-2</v>
      </c>
      <c r="J8">
        <v>1.953965262718374E-2</v>
      </c>
      <c r="K8">
        <v>2.2145285811633809E-2</v>
      </c>
      <c r="L8">
        <v>2.0287195279331639E-2</v>
      </c>
      <c r="M8">
        <v>2.4757248291738879E-2</v>
      </c>
      <c r="N8">
        <v>1.237916212880941E-2</v>
      </c>
      <c r="O8">
        <v>1.6183474632527482E-2</v>
      </c>
      <c r="P8">
        <v>1.986617765954864E-2</v>
      </c>
      <c r="Q8">
        <v>1.196108628592997E-2</v>
      </c>
      <c r="R8">
        <v>1.6990568211051452E-2</v>
      </c>
    </row>
    <row r="9" spans="1:18" x14ac:dyDescent="0.25">
      <c r="A9" t="s">
        <v>33</v>
      </c>
      <c r="B9">
        <v>2.346505327655285E-2</v>
      </c>
      <c r="C9">
        <v>1.926685201949916E-2</v>
      </c>
      <c r="D9">
        <v>2.879636728180196E-2</v>
      </c>
      <c r="E9">
        <v>2.480768245157362E-2</v>
      </c>
      <c r="F9">
        <v>2.6062262848990471E-2</v>
      </c>
      <c r="G9">
        <v>2.5534032803725321E-2</v>
      </c>
      <c r="H9">
        <v>2.7198530845381329E-2</v>
      </c>
      <c r="I9">
        <v>2.8072909787319619E-2</v>
      </c>
      <c r="J9">
        <v>2.0590381327198849E-2</v>
      </c>
      <c r="K9">
        <v>2.2187287871771051E-2</v>
      </c>
      <c r="L9">
        <v>1.8556336458811041E-2</v>
      </c>
      <c r="M9">
        <v>1.9821948580795421E-2</v>
      </c>
      <c r="N9">
        <v>9.0648679880384591E-3</v>
      </c>
      <c r="O9">
        <v>1.42888920612337E-2</v>
      </c>
      <c r="P9">
        <v>1.507373372670281E-2</v>
      </c>
      <c r="Q9">
        <v>8.3979725333956264E-3</v>
      </c>
      <c r="R9">
        <v>1.344317399412821E-2</v>
      </c>
    </row>
    <row r="10" spans="1:18" x14ac:dyDescent="0.25">
      <c r="A10" t="s">
        <v>34</v>
      </c>
      <c r="B10">
        <v>2.7118520358172301E-2</v>
      </c>
      <c r="C10">
        <v>3.3002399299448038E-2</v>
      </c>
      <c r="D10">
        <v>3.2619398984124588E-2</v>
      </c>
      <c r="E10">
        <v>3.579957227546697E-2</v>
      </c>
      <c r="F10">
        <v>2.5534032803725321E-2</v>
      </c>
      <c r="G10">
        <v>3.597750979454474E-2</v>
      </c>
      <c r="H10">
        <v>2.9145945346286461E-2</v>
      </c>
      <c r="I10">
        <v>3.643683992137333E-2</v>
      </c>
      <c r="J10">
        <v>2.2988549999319988E-2</v>
      </c>
      <c r="K10">
        <v>2.696197985168761E-2</v>
      </c>
      <c r="L10">
        <v>2.159359589482248E-2</v>
      </c>
      <c r="M10">
        <v>2.5586727288499419E-2</v>
      </c>
      <c r="N10">
        <v>1.24408136422421E-2</v>
      </c>
      <c r="O10">
        <v>1.776488224999908E-2</v>
      </c>
      <c r="P10">
        <v>1.986315430859667E-2</v>
      </c>
      <c r="Q10">
        <v>1.21902352272583E-2</v>
      </c>
      <c r="R10">
        <v>1.6423133123737749E-2</v>
      </c>
    </row>
    <row r="11" spans="1:18" x14ac:dyDescent="0.25">
      <c r="A11" t="s">
        <v>35</v>
      </c>
      <c r="B11">
        <v>2.5540081813976521E-2</v>
      </c>
      <c r="C11">
        <v>2.2841432611875139E-2</v>
      </c>
      <c r="D11">
        <v>3.3518589853807568E-2</v>
      </c>
      <c r="E11">
        <v>3.0637500771527999E-2</v>
      </c>
      <c r="F11">
        <v>2.7198530845381329E-2</v>
      </c>
      <c r="G11">
        <v>2.9145945346286461E-2</v>
      </c>
      <c r="H11">
        <v>3.0597548711047619E-2</v>
      </c>
      <c r="I11">
        <v>3.3008801869405337E-2</v>
      </c>
      <c r="J11">
        <v>2.197345013524343E-2</v>
      </c>
      <c r="K11">
        <v>2.442981459905676E-2</v>
      </c>
      <c r="L11">
        <v>2.079703995556419E-2</v>
      </c>
      <c r="M11">
        <v>2.2545285607383999E-2</v>
      </c>
      <c r="N11">
        <v>1.0701309654664671E-2</v>
      </c>
      <c r="O11">
        <v>1.6154604964122559E-2</v>
      </c>
      <c r="P11">
        <v>1.7532958514495961E-2</v>
      </c>
      <c r="Q11">
        <v>9.8097028414070291E-3</v>
      </c>
      <c r="R11">
        <v>1.5174961288920661E-2</v>
      </c>
    </row>
    <row r="12" spans="1:18" x14ac:dyDescent="0.25">
      <c r="A12" t="s">
        <v>36</v>
      </c>
      <c r="B12">
        <v>2.9016456277075841E-2</v>
      </c>
      <c r="C12">
        <v>3.2619259622107037E-2</v>
      </c>
      <c r="D12">
        <v>3.8039812915358837E-2</v>
      </c>
      <c r="E12">
        <v>3.946801557387427E-2</v>
      </c>
      <c r="F12">
        <v>2.8072909787319619E-2</v>
      </c>
      <c r="G12">
        <v>3.643683992137333E-2</v>
      </c>
      <c r="H12">
        <v>3.3008801869405337E-2</v>
      </c>
      <c r="I12">
        <v>3.9892784151902762E-2</v>
      </c>
      <c r="J12">
        <v>2.4352599917416E-2</v>
      </c>
      <c r="K12">
        <v>2.844081186320219E-2</v>
      </c>
      <c r="L12">
        <v>2.3814939494187629E-2</v>
      </c>
      <c r="M12">
        <v>2.7686079874654851E-2</v>
      </c>
      <c r="N12">
        <v>1.3125793188780989E-2</v>
      </c>
      <c r="O12">
        <v>1.876222466175758E-2</v>
      </c>
      <c r="P12">
        <v>2.0823790528063608E-2</v>
      </c>
      <c r="Q12">
        <v>1.2451034824716741E-2</v>
      </c>
      <c r="R12">
        <v>1.7861189449369951E-2</v>
      </c>
    </row>
    <row r="13" spans="1:18" x14ac:dyDescent="0.25">
      <c r="A13" t="s">
        <v>37</v>
      </c>
      <c r="B13">
        <v>1.685830848406783E-2</v>
      </c>
      <c r="C13">
        <v>1.9012110036051261E-2</v>
      </c>
      <c r="D13">
        <v>1.9842643566070801E-2</v>
      </c>
      <c r="E13">
        <v>1.953965262718374E-2</v>
      </c>
      <c r="F13">
        <v>2.0590381327198849E-2</v>
      </c>
      <c r="G13">
        <v>2.2988549999319988E-2</v>
      </c>
      <c r="H13">
        <v>2.197345013524343E-2</v>
      </c>
      <c r="I13">
        <v>2.4352599917416E-2</v>
      </c>
      <c r="J13">
        <v>2.6203562912269721E-2</v>
      </c>
      <c r="K13">
        <v>3.0429977341346288E-2</v>
      </c>
      <c r="L13">
        <v>2.0786999610886859E-2</v>
      </c>
      <c r="M13">
        <v>2.3617448150859428E-2</v>
      </c>
      <c r="N13">
        <v>8.9664254227308678E-3</v>
      </c>
      <c r="O13">
        <v>1.376870149941369E-2</v>
      </c>
      <c r="P13">
        <v>1.3786615086615051E-2</v>
      </c>
      <c r="Q13">
        <v>9.1768885991608141E-3</v>
      </c>
      <c r="R13">
        <v>1.1961554566681239E-2</v>
      </c>
    </row>
    <row r="14" spans="1:18" x14ac:dyDescent="0.25">
      <c r="A14" t="s">
        <v>38</v>
      </c>
      <c r="B14">
        <v>1.8704108372271058E-2</v>
      </c>
      <c r="C14">
        <v>2.3697441172589311E-2</v>
      </c>
      <c r="D14">
        <v>2.108700014986439E-2</v>
      </c>
      <c r="E14">
        <v>2.2145285811633809E-2</v>
      </c>
      <c r="F14">
        <v>2.2187287871771051E-2</v>
      </c>
      <c r="G14">
        <v>2.696197985168761E-2</v>
      </c>
      <c r="H14">
        <v>2.442981459905676E-2</v>
      </c>
      <c r="I14">
        <v>2.844081186320219E-2</v>
      </c>
      <c r="J14">
        <v>3.0429977341346282E-2</v>
      </c>
      <c r="K14">
        <v>3.8216313297221631E-2</v>
      </c>
      <c r="L14">
        <v>2.385453796488592E-2</v>
      </c>
      <c r="M14">
        <v>2.8300590336396571E-2</v>
      </c>
      <c r="N14">
        <v>1.0818311639163299E-2</v>
      </c>
      <c r="O14">
        <v>1.5992086716906481E-2</v>
      </c>
      <c r="P14">
        <v>1.6129202834565891E-2</v>
      </c>
      <c r="Q14">
        <v>1.161539702455458E-2</v>
      </c>
      <c r="R14">
        <v>1.4221375436758769E-2</v>
      </c>
    </row>
    <row r="15" spans="1:18" x14ac:dyDescent="0.25">
      <c r="A15" t="s">
        <v>39</v>
      </c>
      <c r="B15">
        <v>1.6871746951464959E-2</v>
      </c>
      <c r="C15">
        <v>1.9783646879743131E-2</v>
      </c>
      <c r="D15">
        <v>2.0770211859719539E-2</v>
      </c>
      <c r="E15">
        <v>2.0287195279331639E-2</v>
      </c>
      <c r="F15">
        <v>1.8556336458811041E-2</v>
      </c>
      <c r="G15">
        <v>2.159359589482248E-2</v>
      </c>
      <c r="H15">
        <v>2.079703995556419E-2</v>
      </c>
      <c r="I15">
        <v>2.3814939494187629E-2</v>
      </c>
      <c r="J15">
        <v>2.0786999610886859E-2</v>
      </c>
      <c r="K15">
        <v>2.385453796488592E-2</v>
      </c>
      <c r="L15">
        <v>2.0800070762593909E-2</v>
      </c>
      <c r="M15">
        <v>2.3024694576633149E-2</v>
      </c>
      <c r="N15">
        <v>7.3752572347945506E-3</v>
      </c>
      <c r="O15">
        <v>1.128988869163971E-2</v>
      </c>
      <c r="P15">
        <v>1.217102347730468E-2</v>
      </c>
      <c r="Q15">
        <v>7.6592665991779274E-3</v>
      </c>
      <c r="R15">
        <v>1.1732394629622091E-2</v>
      </c>
    </row>
    <row r="16" spans="1:18" x14ac:dyDescent="0.25">
      <c r="A16" t="s">
        <v>40</v>
      </c>
      <c r="B16">
        <v>1.858692839663216E-2</v>
      </c>
      <c r="C16">
        <v>2.5457002509038072E-2</v>
      </c>
      <c r="D16">
        <v>2.2852329702297971E-2</v>
      </c>
      <c r="E16">
        <v>2.4757248291738879E-2</v>
      </c>
      <c r="F16">
        <v>1.9821948580795421E-2</v>
      </c>
      <c r="G16">
        <v>2.5586727288499419E-2</v>
      </c>
      <c r="H16">
        <v>2.2545285607383989E-2</v>
      </c>
      <c r="I16">
        <v>2.7686079874654851E-2</v>
      </c>
      <c r="J16">
        <v>2.3617448150859428E-2</v>
      </c>
      <c r="K16">
        <v>2.8300590336396571E-2</v>
      </c>
      <c r="L16">
        <v>2.3024694576633149E-2</v>
      </c>
      <c r="M16">
        <v>2.7523171964646851E-2</v>
      </c>
      <c r="N16">
        <v>8.4932988774832508E-3</v>
      </c>
      <c r="O16">
        <v>1.261959851636044E-2</v>
      </c>
      <c r="P16">
        <v>1.3755754246245399E-2</v>
      </c>
      <c r="Q16">
        <v>9.1086859347063939E-3</v>
      </c>
      <c r="R16">
        <v>1.346185531907541E-2</v>
      </c>
    </row>
    <row r="17" spans="1:18" x14ac:dyDescent="0.25">
      <c r="A17" t="s">
        <v>41</v>
      </c>
      <c r="B17">
        <v>9.0642569623406635E-3</v>
      </c>
      <c r="C17">
        <v>1.1050182365631959E-2</v>
      </c>
      <c r="D17">
        <v>1.143833018380485E-2</v>
      </c>
      <c r="E17">
        <v>1.237916212880941E-2</v>
      </c>
      <c r="F17">
        <v>9.0648679880384608E-3</v>
      </c>
      <c r="G17">
        <v>1.24408136422421E-2</v>
      </c>
      <c r="H17">
        <v>1.0701309654664671E-2</v>
      </c>
      <c r="I17">
        <v>1.3125793188780989E-2</v>
      </c>
      <c r="J17">
        <v>8.966425422730866E-3</v>
      </c>
      <c r="K17">
        <v>1.081831163916331E-2</v>
      </c>
      <c r="L17">
        <v>7.3752572347945506E-3</v>
      </c>
      <c r="M17">
        <v>8.4932988774832508E-3</v>
      </c>
      <c r="N17">
        <v>6.1339113339802477E-3</v>
      </c>
      <c r="O17">
        <v>8.0296810789418759E-3</v>
      </c>
      <c r="P17">
        <v>8.2107988075817897E-3</v>
      </c>
      <c r="Q17">
        <v>5.5236707886497372E-3</v>
      </c>
      <c r="R17">
        <v>6.1066865107894091E-3</v>
      </c>
    </row>
    <row r="18" spans="1:18" x14ac:dyDescent="0.25">
      <c r="A18" t="s">
        <v>42</v>
      </c>
      <c r="B18">
        <v>1.325957776051152E-2</v>
      </c>
      <c r="C18">
        <v>1.446059815942298E-2</v>
      </c>
      <c r="D18">
        <v>1.5983109264041818E-2</v>
      </c>
      <c r="E18">
        <v>1.6183474632527488E-2</v>
      </c>
      <c r="F18">
        <v>1.42888920612337E-2</v>
      </c>
      <c r="G18">
        <v>1.776488224999908E-2</v>
      </c>
      <c r="H18">
        <v>1.6154604964122559E-2</v>
      </c>
      <c r="I18">
        <v>1.8762224661757591E-2</v>
      </c>
      <c r="J18">
        <v>1.376870149941369E-2</v>
      </c>
      <c r="K18">
        <v>1.5992086716906492E-2</v>
      </c>
      <c r="L18">
        <v>1.128988869163971E-2</v>
      </c>
      <c r="M18">
        <v>1.261959851636044E-2</v>
      </c>
      <c r="N18">
        <v>8.0296810789418759E-3</v>
      </c>
      <c r="O18">
        <v>1.1960221502496539E-2</v>
      </c>
      <c r="P18">
        <v>1.1934358609127499E-2</v>
      </c>
      <c r="Q18">
        <v>7.4084633873275664E-3</v>
      </c>
      <c r="R18">
        <v>9.0761740261990631E-3</v>
      </c>
    </row>
    <row r="19" spans="1:18" x14ac:dyDescent="0.25">
      <c r="A19" t="s">
        <v>43</v>
      </c>
      <c r="B19">
        <v>1.5629975834026259E-2</v>
      </c>
      <c r="C19">
        <v>1.8346126284594349E-2</v>
      </c>
      <c r="D19">
        <v>1.928662024228087E-2</v>
      </c>
      <c r="E19">
        <v>1.986617765954864E-2</v>
      </c>
      <c r="F19">
        <v>1.507373372670281E-2</v>
      </c>
      <c r="G19">
        <v>1.986315430859667E-2</v>
      </c>
      <c r="H19">
        <v>1.7532958514495961E-2</v>
      </c>
      <c r="I19">
        <v>2.0823790528063608E-2</v>
      </c>
      <c r="J19">
        <v>1.3786615086615051E-2</v>
      </c>
      <c r="K19">
        <v>1.6129202834565891E-2</v>
      </c>
      <c r="L19">
        <v>1.217102347730468E-2</v>
      </c>
      <c r="M19">
        <v>1.3755754246245399E-2</v>
      </c>
      <c r="N19">
        <v>8.2107988075817897E-3</v>
      </c>
      <c r="O19">
        <v>1.1934358609127499E-2</v>
      </c>
      <c r="P19">
        <v>1.3606497565030891E-2</v>
      </c>
      <c r="Q19">
        <v>7.5010794711456007E-3</v>
      </c>
      <c r="R19">
        <v>9.7563161316974525E-3</v>
      </c>
    </row>
    <row r="20" spans="1:18" x14ac:dyDescent="0.25">
      <c r="A20" t="s">
        <v>44</v>
      </c>
      <c r="B20">
        <v>8.7110381510983048E-3</v>
      </c>
      <c r="C20">
        <v>1.097240708756324E-2</v>
      </c>
      <c r="D20">
        <v>1.0768851297716601E-2</v>
      </c>
      <c r="E20">
        <v>1.196108628592997E-2</v>
      </c>
      <c r="F20">
        <v>8.3979725333956264E-3</v>
      </c>
      <c r="G20">
        <v>1.21902352272583E-2</v>
      </c>
      <c r="H20">
        <v>9.8097028414070274E-3</v>
      </c>
      <c r="I20">
        <v>1.2451034824716741E-2</v>
      </c>
      <c r="J20">
        <v>9.1768885991608141E-3</v>
      </c>
      <c r="K20">
        <v>1.161539702455458E-2</v>
      </c>
      <c r="L20">
        <v>7.6592665991779257E-3</v>
      </c>
      <c r="M20">
        <v>9.1086859347063939E-3</v>
      </c>
      <c r="N20">
        <v>5.5236707886497372E-3</v>
      </c>
      <c r="O20">
        <v>7.4084633873275647E-3</v>
      </c>
      <c r="P20">
        <v>7.5010794711455999E-3</v>
      </c>
      <c r="Q20">
        <v>5.8649618676013277E-3</v>
      </c>
      <c r="R20">
        <v>5.9351898797582259E-3</v>
      </c>
    </row>
    <row r="21" spans="1:18" x14ac:dyDescent="0.25">
      <c r="A21" t="s">
        <v>45</v>
      </c>
      <c r="B21">
        <v>1.358202158238205E-2</v>
      </c>
      <c r="C21">
        <v>1.554898968342339E-2</v>
      </c>
      <c r="D21">
        <v>1.6874628545025281E-2</v>
      </c>
      <c r="E21">
        <v>1.6990568211051452E-2</v>
      </c>
      <c r="F21">
        <v>1.344317399412821E-2</v>
      </c>
      <c r="G21">
        <v>1.6423133123737749E-2</v>
      </c>
      <c r="H21">
        <v>1.5174961288920661E-2</v>
      </c>
      <c r="I21">
        <v>1.7861189449369951E-2</v>
      </c>
      <c r="J21">
        <v>1.1961554566681231E-2</v>
      </c>
      <c r="K21">
        <v>1.4221375436758769E-2</v>
      </c>
      <c r="L21">
        <v>1.1732394629622091E-2</v>
      </c>
      <c r="M21">
        <v>1.346185531907541E-2</v>
      </c>
      <c r="N21">
        <v>6.1066865107894091E-3</v>
      </c>
      <c r="O21">
        <v>9.0761740261990614E-3</v>
      </c>
      <c r="P21">
        <v>9.7563161316974525E-3</v>
      </c>
      <c r="Q21">
        <v>5.9351898797582259E-3</v>
      </c>
      <c r="R21">
        <v>9.0869261147284996E-3</v>
      </c>
    </row>
    <row r="23" spans="1:18" x14ac:dyDescent="0.25">
      <c r="A23" s="4" t="s">
        <v>63</v>
      </c>
    </row>
    <row r="24" spans="1:18" x14ac:dyDescent="0.25">
      <c r="A24" t="s">
        <v>64</v>
      </c>
      <c r="B24" t="s">
        <v>65</v>
      </c>
    </row>
    <row r="25" spans="1:18" x14ac:dyDescent="0.25">
      <c r="A25" t="s">
        <v>29</v>
      </c>
      <c r="B25">
        <v>0.16891613085896831</v>
      </c>
    </row>
    <row r="26" spans="1:18" x14ac:dyDescent="0.25">
      <c r="A26" t="s">
        <v>30</v>
      </c>
      <c r="B26">
        <v>0.20618837221428121</v>
      </c>
    </row>
    <row r="27" spans="1:18" x14ac:dyDescent="0.25">
      <c r="A27" t="s">
        <v>31</v>
      </c>
      <c r="B27">
        <v>0.2376813278041193</v>
      </c>
    </row>
    <row r="28" spans="1:18" x14ac:dyDescent="0.25">
      <c r="A28" t="s">
        <v>32</v>
      </c>
      <c r="B28">
        <v>0.2433293863238761</v>
      </c>
    </row>
    <row r="29" spans="1:18" x14ac:dyDescent="0.25">
      <c r="A29" t="s">
        <v>33</v>
      </c>
      <c r="B29">
        <v>0.16143810841616821</v>
      </c>
    </row>
    <row r="30" spans="1:18" x14ac:dyDescent="0.25">
      <c r="A30" t="s">
        <v>34</v>
      </c>
      <c r="B30">
        <v>0.1896773834555526</v>
      </c>
    </row>
    <row r="31" spans="1:18" x14ac:dyDescent="0.25">
      <c r="A31" t="s">
        <v>35</v>
      </c>
      <c r="B31">
        <v>0.1749215501619158</v>
      </c>
    </row>
    <row r="32" spans="1:18" x14ac:dyDescent="0.25">
      <c r="A32" t="s">
        <v>36</v>
      </c>
      <c r="B32">
        <v>0.19973178052554069</v>
      </c>
    </row>
    <row r="33" spans="1:18" x14ac:dyDescent="0.25">
      <c r="A33" t="s">
        <v>37</v>
      </c>
      <c r="B33">
        <v>0.1618751460609989</v>
      </c>
    </row>
    <row r="34" spans="1:18" x14ac:dyDescent="0.25">
      <c r="A34" t="s">
        <v>38</v>
      </c>
      <c r="B34">
        <v>0.19548993144717619</v>
      </c>
    </row>
    <row r="35" spans="1:18" x14ac:dyDescent="0.25">
      <c r="A35" t="s">
        <v>39</v>
      </c>
      <c r="B35">
        <v>0.1442222963435055</v>
      </c>
    </row>
    <row r="36" spans="1:18" x14ac:dyDescent="0.25">
      <c r="A36" t="s">
        <v>40</v>
      </c>
      <c r="B36">
        <v>0.1659010909085496</v>
      </c>
    </row>
    <row r="37" spans="1:18" x14ac:dyDescent="0.25">
      <c r="A37" t="s">
        <v>41</v>
      </c>
      <c r="B37">
        <v>7.8319290944059552E-2</v>
      </c>
    </row>
    <row r="38" spans="1:18" x14ac:dyDescent="0.25">
      <c r="A38" t="s">
        <v>42</v>
      </c>
      <c r="B38">
        <v>0.10936279761644969</v>
      </c>
    </row>
    <row r="39" spans="1:18" x14ac:dyDescent="0.25">
      <c r="A39" t="s">
        <v>43</v>
      </c>
      <c r="B39">
        <v>0.1166468926505584</v>
      </c>
    </row>
    <row r="40" spans="1:18" x14ac:dyDescent="0.25">
      <c r="A40" t="s">
        <v>44</v>
      </c>
      <c r="B40">
        <v>7.658303903346568E-2</v>
      </c>
    </row>
    <row r="41" spans="1:18" x14ac:dyDescent="0.25">
      <c r="A41" t="s">
        <v>45</v>
      </c>
      <c r="B41">
        <v>9.532536973297559E-2</v>
      </c>
    </row>
    <row r="43" spans="1:18" x14ac:dyDescent="0.25">
      <c r="A43" s="4" t="s">
        <v>66</v>
      </c>
    </row>
    <row r="44" spans="1:18" x14ac:dyDescent="0.25">
      <c r="B44" t="s">
        <v>29</v>
      </c>
      <c r="C44" t="s">
        <v>30</v>
      </c>
      <c r="D44" t="s">
        <v>31</v>
      </c>
      <c r="E44" t="s">
        <v>32</v>
      </c>
      <c r="F44" t="s">
        <v>33</v>
      </c>
      <c r="G44" t="s">
        <v>34</v>
      </c>
      <c r="H44" t="s">
        <v>35</v>
      </c>
      <c r="I44" t="s">
        <v>36</v>
      </c>
      <c r="J44" t="s">
        <v>37</v>
      </c>
      <c r="K44" t="s">
        <v>38</v>
      </c>
      <c r="L44" t="s">
        <v>39</v>
      </c>
      <c r="M44" t="s">
        <v>40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</row>
    <row r="45" spans="1:18" x14ac:dyDescent="0.25">
      <c r="A45" t="s">
        <v>29</v>
      </c>
      <c r="B45">
        <v>0.99999999999999989</v>
      </c>
      <c r="C45">
        <v>0.75616938461038563</v>
      </c>
      <c r="D45">
        <v>0.91413621521549882</v>
      </c>
      <c r="E45">
        <v>0.86224689789088693</v>
      </c>
      <c r="F45">
        <v>0.86048709070378859</v>
      </c>
      <c r="G45">
        <v>0.8464071331523273</v>
      </c>
      <c r="H45">
        <v>0.8643862337074254</v>
      </c>
      <c r="I45">
        <v>0.86005469933489209</v>
      </c>
      <c r="J45">
        <v>0.6165420444795694</v>
      </c>
      <c r="K45">
        <v>0.56642379676596122</v>
      </c>
      <c r="L45">
        <v>0.69255859236275474</v>
      </c>
      <c r="M45">
        <v>0.66326527264781265</v>
      </c>
      <c r="N45">
        <v>0.6851605302686381</v>
      </c>
      <c r="O45">
        <v>0.71777604164511755</v>
      </c>
      <c r="P45">
        <v>0.79325717203342339</v>
      </c>
      <c r="Q45">
        <v>0.6733892737569277</v>
      </c>
      <c r="R45">
        <v>0.84349942868365335</v>
      </c>
    </row>
    <row r="46" spans="1:18" x14ac:dyDescent="0.25">
      <c r="A46" t="s">
        <v>30</v>
      </c>
      <c r="B46">
        <v>0.75616938461038574</v>
      </c>
      <c r="C46">
        <v>0.99999999999999989</v>
      </c>
      <c r="D46">
        <v>0.67267511882693365</v>
      </c>
      <c r="E46">
        <v>0.79559305781680989</v>
      </c>
      <c r="F46">
        <v>0.57881600507758946</v>
      </c>
      <c r="G46">
        <v>0.84385104876035177</v>
      </c>
      <c r="H46">
        <v>0.63330927998437891</v>
      </c>
      <c r="I46">
        <v>0.79206852502393099</v>
      </c>
      <c r="J46">
        <v>0.56962097896910202</v>
      </c>
      <c r="K46">
        <v>0.5879127644689266</v>
      </c>
      <c r="L46">
        <v>0.66528813078891336</v>
      </c>
      <c r="M46">
        <v>0.74420717624447341</v>
      </c>
      <c r="N46">
        <v>0.68428422533466993</v>
      </c>
      <c r="O46">
        <v>0.64128705945914477</v>
      </c>
      <c r="P46">
        <v>0.76279358925258078</v>
      </c>
      <c r="Q46">
        <v>0.6948725336231768</v>
      </c>
      <c r="R46">
        <v>0.79109657988569448</v>
      </c>
    </row>
    <row r="47" spans="1:18" x14ac:dyDescent="0.25">
      <c r="A47" t="s">
        <v>31</v>
      </c>
      <c r="B47">
        <v>0.91413621521549882</v>
      </c>
      <c r="C47">
        <v>0.67267511882693365</v>
      </c>
      <c r="D47">
        <v>1</v>
      </c>
      <c r="E47">
        <v>0.93212455701817487</v>
      </c>
      <c r="F47">
        <v>0.75047560372726729</v>
      </c>
      <c r="G47">
        <v>0.72354465532638523</v>
      </c>
      <c r="H47">
        <v>0.80620847072820001</v>
      </c>
      <c r="I47">
        <v>0.80130182855545073</v>
      </c>
      <c r="J47">
        <v>0.51573225377658638</v>
      </c>
      <c r="K47">
        <v>0.45383223699961012</v>
      </c>
      <c r="L47">
        <v>0.60591744326385955</v>
      </c>
      <c r="M47">
        <v>0.57954368037564086</v>
      </c>
      <c r="N47">
        <v>0.61446735787782047</v>
      </c>
      <c r="O47">
        <v>0.61488881333110101</v>
      </c>
      <c r="P47">
        <v>0.69564535581404052</v>
      </c>
      <c r="Q47">
        <v>0.59161846274310892</v>
      </c>
      <c r="R47">
        <v>0.74478454877712086</v>
      </c>
    </row>
    <row r="48" spans="1:18" x14ac:dyDescent="0.25">
      <c r="A48" t="s">
        <v>32</v>
      </c>
      <c r="B48">
        <v>0.86224689789088693</v>
      </c>
      <c r="C48">
        <v>0.79559305781680967</v>
      </c>
      <c r="D48">
        <v>0.93212455701817487</v>
      </c>
      <c r="E48">
        <v>0.99999999999999989</v>
      </c>
      <c r="F48">
        <v>0.6315177664293975</v>
      </c>
      <c r="G48">
        <v>0.77565344721191765</v>
      </c>
      <c r="H48">
        <v>0.71980599090254416</v>
      </c>
      <c r="I48">
        <v>0.81208886651821122</v>
      </c>
      <c r="J48">
        <v>0.49606901856661811</v>
      </c>
      <c r="K48">
        <v>0.46554571602331157</v>
      </c>
      <c r="L48">
        <v>0.57808944853582522</v>
      </c>
      <c r="M48">
        <v>0.61327967196492672</v>
      </c>
      <c r="N48">
        <v>0.64957296748898929</v>
      </c>
      <c r="O48">
        <v>0.60814564233244461</v>
      </c>
      <c r="P48">
        <v>0.69991706116451935</v>
      </c>
      <c r="Q48">
        <v>0.64186466192699032</v>
      </c>
      <c r="R48">
        <v>0.73249530242002669</v>
      </c>
    </row>
    <row r="49" spans="1:18" x14ac:dyDescent="0.25">
      <c r="A49" t="s">
        <v>33</v>
      </c>
      <c r="B49">
        <v>0.86048709070378859</v>
      </c>
      <c r="C49">
        <v>0.57881600507758946</v>
      </c>
      <c r="D49">
        <v>0.75047560372726718</v>
      </c>
      <c r="E49">
        <v>0.6315177664293975</v>
      </c>
      <c r="F49">
        <v>1</v>
      </c>
      <c r="G49">
        <v>0.83386894801304234</v>
      </c>
      <c r="H49">
        <v>0.96315474414842928</v>
      </c>
      <c r="I49">
        <v>0.87063113928830016</v>
      </c>
      <c r="J49">
        <v>0.78791280052377122</v>
      </c>
      <c r="K49">
        <v>0.70302984754903386</v>
      </c>
      <c r="L49">
        <v>0.79699165108594527</v>
      </c>
      <c r="M49">
        <v>0.74010108885829984</v>
      </c>
      <c r="N49">
        <v>0.71694638058144888</v>
      </c>
      <c r="O49">
        <v>0.80932486576038165</v>
      </c>
      <c r="P49">
        <v>0.80046363163796397</v>
      </c>
      <c r="Q49">
        <v>0.67925961282918901</v>
      </c>
      <c r="R49">
        <v>0.87354898017593474</v>
      </c>
    </row>
    <row r="50" spans="1:18" x14ac:dyDescent="0.25">
      <c r="A50" t="s">
        <v>34</v>
      </c>
      <c r="B50">
        <v>0.8464071331523273</v>
      </c>
      <c r="C50">
        <v>0.84385104876035177</v>
      </c>
      <c r="D50">
        <v>0.72354465532638534</v>
      </c>
      <c r="E50">
        <v>0.77565344721191787</v>
      </c>
      <c r="F50">
        <v>0.83386894801304234</v>
      </c>
      <c r="G50">
        <v>1</v>
      </c>
      <c r="H50">
        <v>0.8784545137734544</v>
      </c>
      <c r="I50">
        <v>0.96178495896938865</v>
      </c>
      <c r="J50">
        <v>0.74871383062356778</v>
      </c>
      <c r="K50">
        <v>0.72712961872986592</v>
      </c>
      <c r="L50">
        <v>0.78936345013088904</v>
      </c>
      <c r="M50">
        <v>0.81311120986135066</v>
      </c>
      <c r="N50">
        <v>0.83746079985166655</v>
      </c>
      <c r="O50">
        <v>0.85640101188109352</v>
      </c>
      <c r="P50">
        <v>0.89775843086174878</v>
      </c>
      <c r="Q50">
        <v>0.83919703267552437</v>
      </c>
      <c r="R50">
        <v>0.90830554353171689</v>
      </c>
    </row>
    <row r="51" spans="1:18" x14ac:dyDescent="0.25">
      <c r="A51" t="s">
        <v>35</v>
      </c>
      <c r="B51">
        <v>0.8643862337074254</v>
      </c>
      <c r="C51">
        <v>0.63330927998437891</v>
      </c>
      <c r="D51">
        <v>0.80620847072820001</v>
      </c>
      <c r="E51">
        <v>0.71980599090254427</v>
      </c>
      <c r="F51">
        <v>0.96315474414842928</v>
      </c>
      <c r="G51">
        <v>0.8784545137734544</v>
      </c>
      <c r="H51">
        <v>1</v>
      </c>
      <c r="I51">
        <v>0.94479866270640123</v>
      </c>
      <c r="J51">
        <v>0.77602330125171848</v>
      </c>
      <c r="K51">
        <v>0.71441811698461288</v>
      </c>
      <c r="L51">
        <v>0.82437687854981978</v>
      </c>
      <c r="M51">
        <v>0.77689653085905352</v>
      </c>
      <c r="N51">
        <v>0.78113278616626791</v>
      </c>
      <c r="O51">
        <v>0.84446842085870921</v>
      </c>
      <c r="P51">
        <v>0.85928793420978444</v>
      </c>
      <c r="Q51">
        <v>0.73228466236103773</v>
      </c>
      <c r="R51">
        <v>0.91007204882660597</v>
      </c>
    </row>
    <row r="52" spans="1:18" x14ac:dyDescent="0.25">
      <c r="A52" t="s">
        <v>36</v>
      </c>
      <c r="B52">
        <v>0.86005469933489198</v>
      </c>
      <c r="C52">
        <v>0.79206852502393077</v>
      </c>
      <c r="D52">
        <v>0.80130182855545051</v>
      </c>
      <c r="E52">
        <v>0.81208886651821122</v>
      </c>
      <c r="F52">
        <v>0.87063113928830016</v>
      </c>
      <c r="G52">
        <v>0.96178495896938865</v>
      </c>
      <c r="H52">
        <v>0.94479866270640123</v>
      </c>
      <c r="I52">
        <v>0.99999999999999978</v>
      </c>
      <c r="J52">
        <v>0.75321331212823561</v>
      </c>
      <c r="K52">
        <v>0.72840081254119438</v>
      </c>
      <c r="L52">
        <v>0.82674181250930268</v>
      </c>
      <c r="M52">
        <v>0.83553577957956182</v>
      </c>
      <c r="N52">
        <v>0.83909210847671389</v>
      </c>
      <c r="O52">
        <v>0.85894933338335466</v>
      </c>
      <c r="P52">
        <v>0.89379812388351343</v>
      </c>
      <c r="Q52">
        <v>0.81400238590282892</v>
      </c>
      <c r="R52">
        <v>0.93811202940770344</v>
      </c>
    </row>
    <row r="53" spans="1:18" x14ac:dyDescent="0.25">
      <c r="A53" t="s">
        <v>37</v>
      </c>
      <c r="B53">
        <v>0.6165420444795694</v>
      </c>
      <c r="C53">
        <v>0.56962097896910202</v>
      </c>
      <c r="D53">
        <v>0.51573225377658649</v>
      </c>
      <c r="E53">
        <v>0.49606901856661823</v>
      </c>
      <c r="F53">
        <v>0.78791280052377133</v>
      </c>
      <c r="G53">
        <v>0.74871383062356778</v>
      </c>
      <c r="H53">
        <v>0.77602330125171848</v>
      </c>
      <c r="I53">
        <v>0.75321331212823572</v>
      </c>
      <c r="J53">
        <v>0.99999999999999989</v>
      </c>
      <c r="K53">
        <v>0.96160577169954808</v>
      </c>
      <c r="L53">
        <v>0.89038785678160814</v>
      </c>
      <c r="M53">
        <v>0.87943461463182482</v>
      </c>
      <c r="N53">
        <v>0.70724587052722543</v>
      </c>
      <c r="O53">
        <v>0.77775569522884092</v>
      </c>
      <c r="P53">
        <v>0.73013690930112718</v>
      </c>
      <c r="Q53">
        <v>0.74025728495527443</v>
      </c>
      <c r="R53">
        <v>0.77517356520158809</v>
      </c>
    </row>
    <row r="54" spans="1:18" x14ac:dyDescent="0.25">
      <c r="A54" t="s">
        <v>38</v>
      </c>
      <c r="B54">
        <v>0.56642379676596122</v>
      </c>
      <c r="C54">
        <v>0.58791276446892649</v>
      </c>
      <c r="D54">
        <v>0.45383223699961012</v>
      </c>
      <c r="E54">
        <v>0.46554571602331157</v>
      </c>
      <c r="F54">
        <v>0.70302984754903386</v>
      </c>
      <c r="G54">
        <v>0.72712961872986581</v>
      </c>
      <c r="H54">
        <v>0.71441811698461277</v>
      </c>
      <c r="I54">
        <v>0.72840081254119438</v>
      </c>
      <c r="J54">
        <v>0.96160577169954797</v>
      </c>
      <c r="K54">
        <v>0.99999999999999978</v>
      </c>
      <c r="L54">
        <v>0.84608541498404044</v>
      </c>
      <c r="M54">
        <v>0.87261336155004121</v>
      </c>
      <c r="N54">
        <v>0.70658814485415</v>
      </c>
      <c r="O54">
        <v>0.74801641828391019</v>
      </c>
      <c r="P54">
        <v>0.70731901751065163</v>
      </c>
      <c r="Q54">
        <v>0.77584875622592464</v>
      </c>
      <c r="R54">
        <v>0.76314789208173439</v>
      </c>
    </row>
    <row r="55" spans="1:18" x14ac:dyDescent="0.25">
      <c r="A55" t="s">
        <v>39</v>
      </c>
      <c r="B55">
        <v>0.69255859236275474</v>
      </c>
      <c r="C55">
        <v>0.66528813078891325</v>
      </c>
      <c r="D55">
        <v>0.60591744326385955</v>
      </c>
      <c r="E55">
        <v>0.57808944853582522</v>
      </c>
      <c r="F55">
        <v>0.79699165108594527</v>
      </c>
      <c r="G55">
        <v>0.78936345013088904</v>
      </c>
      <c r="H55">
        <v>0.82437687854981978</v>
      </c>
      <c r="I55">
        <v>0.82674181250930279</v>
      </c>
      <c r="J55">
        <v>0.89038785678160814</v>
      </c>
      <c r="K55">
        <v>0.84608541498404066</v>
      </c>
      <c r="L55">
        <v>1</v>
      </c>
      <c r="M55">
        <v>0.96230386465923601</v>
      </c>
      <c r="N55">
        <v>0.6529441257497518</v>
      </c>
      <c r="O55">
        <v>0.71579332237093407</v>
      </c>
      <c r="P55">
        <v>0.72347165381710044</v>
      </c>
      <c r="Q55">
        <v>0.69346122721486947</v>
      </c>
      <c r="R55">
        <v>0.8533864792897301</v>
      </c>
    </row>
    <row r="56" spans="1:18" x14ac:dyDescent="0.25">
      <c r="A56" t="s">
        <v>40</v>
      </c>
      <c r="B56">
        <v>0.66326527264781254</v>
      </c>
      <c r="C56">
        <v>0.74420717624447341</v>
      </c>
      <c r="D56">
        <v>0.57954368037564086</v>
      </c>
      <c r="E56">
        <v>0.61327967196492672</v>
      </c>
      <c r="F56">
        <v>0.74010108885829984</v>
      </c>
      <c r="G56">
        <v>0.81311120986135066</v>
      </c>
      <c r="H56">
        <v>0.77689653085905341</v>
      </c>
      <c r="I56">
        <v>0.83553577957956193</v>
      </c>
      <c r="J56">
        <v>0.87943461463182471</v>
      </c>
      <c r="K56">
        <v>0.87261336155004121</v>
      </c>
      <c r="L56">
        <v>0.96230386465923601</v>
      </c>
      <c r="M56">
        <v>1</v>
      </c>
      <c r="N56">
        <v>0.6536697963751289</v>
      </c>
      <c r="O56">
        <v>0.69554732568730737</v>
      </c>
      <c r="P56">
        <v>0.71082385209875931</v>
      </c>
      <c r="Q56">
        <v>0.71692527198779732</v>
      </c>
      <c r="R56">
        <v>0.85123050439062353</v>
      </c>
    </row>
    <row r="57" spans="1:18" x14ac:dyDescent="0.25">
      <c r="A57" t="s">
        <v>41</v>
      </c>
      <c r="B57">
        <v>0.6851605302686381</v>
      </c>
      <c r="C57">
        <v>0.68428422533466993</v>
      </c>
      <c r="D57">
        <v>0.61446735787782047</v>
      </c>
      <c r="E57">
        <v>0.64957296748898929</v>
      </c>
      <c r="F57">
        <v>0.71694638058144899</v>
      </c>
      <c r="G57">
        <v>0.83746079985166655</v>
      </c>
      <c r="H57">
        <v>0.78113278616626791</v>
      </c>
      <c r="I57">
        <v>0.839092108476714</v>
      </c>
      <c r="J57">
        <v>0.70724587052722532</v>
      </c>
      <c r="K57">
        <v>0.70658814485415011</v>
      </c>
      <c r="L57">
        <v>0.6529441257497518</v>
      </c>
      <c r="M57">
        <v>0.6536697963751289</v>
      </c>
      <c r="N57">
        <v>0.99999999999999989</v>
      </c>
      <c r="O57">
        <v>0.9374755244692905</v>
      </c>
      <c r="P57">
        <v>0.89875949068707983</v>
      </c>
      <c r="Q57">
        <v>0.92092962390011757</v>
      </c>
      <c r="R57">
        <v>0.81795305817739061</v>
      </c>
    </row>
    <row r="58" spans="1:18" x14ac:dyDescent="0.25">
      <c r="A58" t="s">
        <v>42</v>
      </c>
      <c r="B58">
        <v>0.71777604164511755</v>
      </c>
      <c r="C58">
        <v>0.64128705945914477</v>
      </c>
      <c r="D58">
        <v>0.61488881333110101</v>
      </c>
      <c r="E58">
        <v>0.60814564233244484</v>
      </c>
      <c r="F58">
        <v>0.80932486576038176</v>
      </c>
      <c r="G58">
        <v>0.85640101188109352</v>
      </c>
      <c r="H58">
        <v>0.84446842085870899</v>
      </c>
      <c r="I58">
        <v>0.85894933338335477</v>
      </c>
      <c r="J58">
        <v>0.7777556952288408</v>
      </c>
      <c r="K58">
        <v>0.7480164182839103</v>
      </c>
      <c r="L58">
        <v>0.71579332237093418</v>
      </c>
      <c r="M58">
        <v>0.69554732568730737</v>
      </c>
      <c r="N58">
        <v>0.9374755244692905</v>
      </c>
      <c r="O58">
        <v>0.99999999999999989</v>
      </c>
      <c r="P58">
        <v>0.93552693958496369</v>
      </c>
      <c r="Q58">
        <v>0.88455721886724681</v>
      </c>
      <c r="R58">
        <v>0.87061211161913732</v>
      </c>
    </row>
    <row r="59" spans="1:18" x14ac:dyDescent="0.25">
      <c r="A59" t="s">
        <v>43</v>
      </c>
      <c r="B59">
        <v>0.79325717203342339</v>
      </c>
      <c r="C59">
        <v>0.76279358925258056</v>
      </c>
      <c r="D59">
        <v>0.69564535581404052</v>
      </c>
      <c r="E59">
        <v>0.69991706116451946</v>
      </c>
      <c r="F59">
        <v>0.80046363163796397</v>
      </c>
      <c r="G59">
        <v>0.89775843086174878</v>
      </c>
      <c r="H59">
        <v>0.85928793420978444</v>
      </c>
      <c r="I59">
        <v>0.89379812388351343</v>
      </c>
      <c r="J59">
        <v>0.73013690930112718</v>
      </c>
      <c r="K59">
        <v>0.70731901751065163</v>
      </c>
      <c r="L59">
        <v>0.72347165381710044</v>
      </c>
      <c r="M59">
        <v>0.71082385209875942</v>
      </c>
      <c r="N59">
        <v>0.89875949068707983</v>
      </c>
      <c r="O59">
        <v>0.93552693958496369</v>
      </c>
      <c r="P59">
        <v>1</v>
      </c>
      <c r="Q59">
        <v>0.83968809555127644</v>
      </c>
      <c r="R59">
        <v>0.87741325639228063</v>
      </c>
    </row>
    <row r="60" spans="1:18" x14ac:dyDescent="0.25">
      <c r="A60" t="s">
        <v>44</v>
      </c>
      <c r="B60">
        <v>0.6733892737569277</v>
      </c>
      <c r="C60">
        <v>0.69487253362317669</v>
      </c>
      <c r="D60">
        <v>0.59161846274310892</v>
      </c>
      <c r="E60">
        <v>0.64186466192699032</v>
      </c>
      <c r="F60">
        <v>0.67925961282918901</v>
      </c>
      <c r="G60">
        <v>0.83919703267552426</v>
      </c>
      <c r="H60">
        <v>0.73228466236103762</v>
      </c>
      <c r="I60">
        <v>0.81400238590282881</v>
      </c>
      <c r="J60">
        <v>0.74025728495527443</v>
      </c>
      <c r="K60">
        <v>0.77584875622592464</v>
      </c>
      <c r="L60">
        <v>0.69346122721486936</v>
      </c>
      <c r="M60">
        <v>0.71692527198779732</v>
      </c>
      <c r="N60">
        <v>0.92092962390011757</v>
      </c>
      <c r="O60">
        <v>0.8845572188672467</v>
      </c>
      <c r="P60">
        <v>0.83968809555127633</v>
      </c>
      <c r="Q60">
        <v>1</v>
      </c>
      <c r="R60">
        <v>0.81300557321823808</v>
      </c>
    </row>
    <row r="61" spans="1:18" x14ac:dyDescent="0.25">
      <c r="A61" t="s">
        <v>45</v>
      </c>
      <c r="B61">
        <v>0.84349942868365335</v>
      </c>
      <c r="C61">
        <v>0.79109657988569448</v>
      </c>
      <c r="D61">
        <v>0.74478454877712086</v>
      </c>
      <c r="E61">
        <v>0.73249530242002669</v>
      </c>
      <c r="F61">
        <v>0.87354898017593474</v>
      </c>
      <c r="G61">
        <v>0.90830554353171666</v>
      </c>
      <c r="H61">
        <v>0.91007204882660586</v>
      </c>
      <c r="I61">
        <v>0.93811202940770344</v>
      </c>
      <c r="J61">
        <v>0.77517356520158798</v>
      </c>
      <c r="K61">
        <v>0.76314789208173439</v>
      </c>
      <c r="L61">
        <v>0.8533864792897301</v>
      </c>
      <c r="M61">
        <v>0.85123050439062353</v>
      </c>
      <c r="N61">
        <v>0.81795305817739061</v>
      </c>
      <c r="O61">
        <v>0.8706121116191371</v>
      </c>
      <c r="P61">
        <v>0.87741325639228063</v>
      </c>
      <c r="Q61">
        <v>0.81300557321823808</v>
      </c>
      <c r="R61">
        <v>1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"/>
  <sheetViews>
    <sheetView workbookViewId="0"/>
  </sheetViews>
  <sheetFormatPr defaultRowHeight="14.4" x14ac:dyDescent="0.25"/>
  <sheetData>
    <row r="1" spans="1:2" ht="15.6" x14ac:dyDescent="0.25">
      <c r="A1" s="3" t="s">
        <v>67</v>
      </c>
    </row>
    <row r="3" spans="1:2" x14ac:dyDescent="0.25">
      <c r="A3">
        <v>1</v>
      </c>
      <c r="B3" t="s">
        <v>29</v>
      </c>
    </row>
    <row r="4" spans="1:2" x14ac:dyDescent="0.25">
      <c r="A4">
        <v>2</v>
      </c>
      <c r="B4" t="s">
        <v>30</v>
      </c>
    </row>
    <row r="5" spans="1:2" x14ac:dyDescent="0.25">
      <c r="A5">
        <v>3</v>
      </c>
      <c r="B5" t="s">
        <v>31</v>
      </c>
    </row>
    <row r="6" spans="1:2" x14ac:dyDescent="0.25">
      <c r="A6">
        <v>4</v>
      </c>
      <c r="B6" t="s">
        <v>32</v>
      </c>
    </row>
    <row r="7" spans="1:2" x14ac:dyDescent="0.25">
      <c r="A7">
        <v>5</v>
      </c>
      <c r="B7" t="s">
        <v>33</v>
      </c>
    </row>
    <row r="8" spans="1:2" x14ac:dyDescent="0.25">
      <c r="A8">
        <v>6</v>
      </c>
      <c r="B8" t="s">
        <v>34</v>
      </c>
    </row>
    <row r="9" spans="1:2" x14ac:dyDescent="0.25">
      <c r="A9">
        <v>7</v>
      </c>
      <c r="B9" t="s">
        <v>35</v>
      </c>
    </row>
    <row r="10" spans="1:2" x14ac:dyDescent="0.25">
      <c r="A10">
        <v>8</v>
      </c>
      <c r="B10" t="s">
        <v>36</v>
      </c>
    </row>
    <row r="11" spans="1:2" x14ac:dyDescent="0.25">
      <c r="A11">
        <v>9</v>
      </c>
      <c r="B11" t="s">
        <v>37</v>
      </c>
    </row>
    <row r="12" spans="1:2" x14ac:dyDescent="0.25">
      <c r="A12">
        <v>10</v>
      </c>
      <c r="B12" t="s">
        <v>38</v>
      </c>
    </row>
    <row r="13" spans="1:2" x14ac:dyDescent="0.25">
      <c r="A13">
        <v>11</v>
      </c>
      <c r="B13" t="s">
        <v>39</v>
      </c>
    </row>
    <row r="14" spans="1:2" x14ac:dyDescent="0.25">
      <c r="A14">
        <v>12</v>
      </c>
      <c r="B14" t="s">
        <v>40</v>
      </c>
    </row>
    <row r="15" spans="1:2" x14ac:dyDescent="0.25">
      <c r="A15">
        <v>13</v>
      </c>
      <c r="B15" t="s">
        <v>41</v>
      </c>
    </row>
    <row r="16" spans="1:2" x14ac:dyDescent="0.25">
      <c r="A16">
        <v>14</v>
      </c>
      <c r="B16" t="s">
        <v>42</v>
      </c>
    </row>
    <row r="17" spans="1:2" x14ac:dyDescent="0.25">
      <c r="A17">
        <v>15</v>
      </c>
      <c r="B17" t="s">
        <v>43</v>
      </c>
    </row>
    <row r="18" spans="1:2" x14ac:dyDescent="0.25">
      <c r="A18">
        <v>16</v>
      </c>
      <c r="B18" t="s">
        <v>44</v>
      </c>
    </row>
    <row r="19" spans="1:2" x14ac:dyDescent="0.25">
      <c r="A19">
        <v>17</v>
      </c>
      <c r="B19" t="s">
        <v>45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Cover</vt:lpstr>
      <vt:lpstr>Data_Monthly</vt:lpstr>
      <vt:lpstr>Total_Return_Statistics</vt:lpstr>
      <vt:lpstr>Active_Return_Statistics</vt:lpstr>
      <vt:lpstr>Gross_Returns</vt:lpstr>
      <vt:lpstr>Weights_Annual</vt:lpstr>
      <vt:lpstr>Parameters</vt:lpstr>
      <vt:lpstr>Expected_Returns</vt:lpstr>
      <vt:lpstr>Sec08_FinalYr</vt:lpstr>
      <vt:lpstr>Investment_Universe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阳 陈</cp:lastModifiedBy>
  <dcterms:created xsi:type="dcterms:W3CDTF">2026-04-22T01:58:25Z</dcterms:created>
  <dcterms:modified xsi:type="dcterms:W3CDTF">2026-04-22T02:00:34Z</dcterms:modified>
</cp:coreProperties>
</file>